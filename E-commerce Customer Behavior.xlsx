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cuments\Aduke Files\Cleaned Excel Files\"/>
    </mc:Choice>
  </mc:AlternateContent>
  <xr:revisionPtr revIDLastSave="0" documentId="13_ncr:1_{7DFE543D-3F5E-4987-95A1-5118ADA3643D}" xr6:coauthVersionLast="36" xr6:coauthVersionMax="36" xr10:uidLastSave="{00000000-0000-0000-0000-000000000000}"/>
  <bookViews>
    <workbookView xWindow="0" yWindow="0" windowWidth="19200" windowHeight="8130" activeTab="4" xr2:uid="{00000000-000D-0000-FFFF-FFFF00000000}"/>
  </bookViews>
  <sheets>
    <sheet name="RAW DATA" sheetId="1" r:id="rId1"/>
    <sheet name="CLEANED DATA (2)" sheetId="5" state="hidden" r:id="rId2"/>
    <sheet name="CLEANED DATA" sheetId="2" r:id="rId3"/>
    <sheet name="SUMMARY STATS" sheetId="3" r:id="rId4"/>
    <sheet name="PIVOT TABLE" sheetId="4" r:id="rId5"/>
  </sheets>
  <definedNames>
    <definedName name="Slicer_Ag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51" i="5" l="1"/>
  <c r="L351" i="5"/>
  <c r="M350" i="5"/>
  <c r="L350" i="5"/>
  <c r="M349" i="5"/>
  <c r="L349" i="5"/>
  <c r="M348" i="5"/>
  <c r="L348" i="5"/>
  <c r="M347" i="5"/>
  <c r="L347" i="5"/>
  <c r="M346" i="5"/>
  <c r="L346" i="5"/>
  <c r="M345" i="5"/>
  <c r="L345" i="5"/>
  <c r="M344" i="5"/>
  <c r="L344" i="5"/>
  <c r="M343" i="5"/>
  <c r="L343" i="5"/>
  <c r="M342" i="5"/>
  <c r="L342" i="5"/>
  <c r="M341" i="5"/>
  <c r="L341" i="5"/>
  <c r="M340" i="5"/>
  <c r="L340" i="5"/>
  <c r="M339" i="5"/>
  <c r="L339" i="5"/>
  <c r="M338" i="5"/>
  <c r="L338" i="5"/>
  <c r="M337" i="5"/>
  <c r="L337" i="5"/>
  <c r="M336" i="5"/>
  <c r="L336" i="5"/>
  <c r="M335" i="5"/>
  <c r="L335" i="5"/>
  <c r="M334" i="5"/>
  <c r="L334" i="5"/>
  <c r="M333" i="5"/>
  <c r="L333" i="5"/>
  <c r="M332" i="5"/>
  <c r="L332" i="5"/>
  <c r="M331" i="5"/>
  <c r="L331" i="5"/>
  <c r="M330" i="5"/>
  <c r="L330" i="5"/>
  <c r="M329" i="5"/>
  <c r="L329" i="5"/>
  <c r="M328" i="5"/>
  <c r="L328" i="5"/>
  <c r="M327" i="5"/>
  <c r="L327" i="5"/>
  <c r="M326" i="5"/>
  <c r="L326" i="5"/>
  <c r="M325" i="5"/>
  <c r="L325" i="5"/>
  <c r="M324" i="5"/>
  <c r="L324" i="5"/>
  <c r="M323" i="5"/>
  <c r="L323" i="5"/>
  <c r="M322" i="5"/>
  <c r="L322" i="5"/>
  <c r="M321" i="5"/>
  <c r="L321" i="5"/>
  <c r="M320" i="5"/>
  <c r="L320" i="5"/>
  <c r="M319" i="5"/>
  <c r="L319" i="5"/>
  <c r="M318" i="5"/>
  <c r="L318" i="5"/>
  <c r="M317" i="5"/>
  <c r="L317" i="5"/>
  <c r="M316" i="5"/>
  <c r="L316" i="5"/>
  <c r="M315" i="5"/>
  <c r="L315" i="5"/>
  <c r="M314" i="5"/>
  <c r="L314" i="5"/>
  <c r="M313" i="5"/>
  <c r="L313" i="5"/>
  <c r="M312" i="5"/>
  <c r="L312" i="5"/>
  <c r="M311" i="5"/>
  <c r="L311" i="5"/>
  <c r="M310" i="5"/>
  <c r="L310" i="5"/>
  <c r="M309" i="5"/>
  <c r="L309" i="5"/>
  <c r="M308" i="5"/>
  <c r="L308" i="5"/>
  <c r="M307" i="5"/>
  <c r="L307" i="5"/>
  <c r="M306" i="5"/>
  <c r="L306" i="5"/>
  <c r="M305" i="5"/>
  <c r="L305" i="5"/>
  <c r="M304" i="5"/>
  <c r="L304" i="5"/>
  <c r="M303" i="5"/>
  <c r="L303" i="5"/>
  <c r="M302" i="5"/>
  <c r="L302" i="5"/>
  <c r="M301" i="5"/>
  <c r="L301" i="5"/>
  <c r="M300" i="5"/>
  <c r="L300" i="5"/>
  <c r="M299" i="5"/>
  <c r="L299" i="5"/>
  <c r="M298" i="5"/>
  <c r="L298" i="5"/>
  <c r="M297" i="5"/>
  <c r="L297" i="5"/>
  <c r="M296" i="5"/>
  <c r="L296" i="5"/>
  <c r="M295" i="5"/>
  <c r="L295" i="5"/>
  <c r="M294" i="5"/>
  <c r="L294" i="5"/>
  <c r="M293" i="5"/>
  <c r="L293" i="5"/>
  <c r="M292" i="5"/>
  <c r="L292" i="5"/>
  <c r="M291" i="5"/>
  <c r="L291" i="5"/>
  <c r="M290" i="5"/>
  <c r="L290" i="5"/>
  <c r="M289" i="5"/>
  <c r="L289" i="5"/>
  <c r="M288" i="5"/>
  <c r="L288" i="5"/>
  <c r="M287" i="5"/>
  <c r="L287" i="5"/>
  <c r="M286" i="5"/>
  <c r="L286" i="5"/>
  <c r="M285" i="5"/>
  <c r="L285" i="5"/>
  <c r="M284" i="5"/>
  <c r="L284" i="5"/>
  <c r="M283" i="5"/>
  <c r="L283" i="5"/>
  <c r="M282" i="5"/>
  <c r="L282" i="5"/>
  <c r="M281" i="5"/>
  <c r="L281" i="5"/>
  <c r="M280" i="5"/>
  <c r="L280" i="5"/>
  <c r="M279" i="5"/>
  <c r="L279" i="5"/>
  <c r="M278" i="5"/>
  <c r="L278" i="5"/>
  <c r="M277" i="5"/>
  <c r="L277" i="5"/>
  <c r="M276" i="5"/>
  <c r="L276" i="5"/>
  <c r="M275" i="5"/>
  <c r="L275" i="5"/>
  <c r="M274" i="5"/>
  <c r="L274" i="5"/>
  <c r="M273" i="5"/>
  <c r="L273" i="5"/>
  <c r="M272" i="5"/>
  <c r="L272" i="5"/>
  <c r="M271" i="5"/>
  <c r="L271" i="5"/>
  <c r="M270" i="5"/>
  <c r="L270" i="5"/>
  <c r="M269" i="5"/>
  <c r="L269" i="5"/>
  <c r="M268" i="5"/>
  <c r="L268" i="5"/>
  <c r="M267" i="5"/>
  <c r="L267" i="5"/>
  <c r="M266" i="5"/>
  <c r="L266" i="5"/>
  <c r="M265" i="5"/>
  <c r="L265" i="5"/>
  <c r="M264" i="5"/>
  <c r="L264" i="5"/>
  <c r="M263" i="5"/>
  <c r="L263" i="5"/>
  <c r="M262" i="5"/>
  <c r="L262" i="5"/>
  <c r="M261" i="5"/>
  <c r="L261" i="5"/>
  <c r="M260" i="5"/>
  <c r="L260" i="5"/>
  <c r="M259" i="5"/>
  <c r="L259" i="5"/>
  <c r="M258" i="5"/>
  <c r="L258" i="5"/>
  <c r="M257" i="5"/>
  <c r="L257" i="5"/>
  <c r="M256" i="5"/>
  <c r="L256" i="5"/>
  <c r="M255" i="5"/>
  <c r="L255" i="5"/>
  <c r="M254" i="5"/>
  <c r="L254" i="5"/>
  <c r="M253" i="5"/>
  <c r="L253" i="5"/>
  <c r="M252" i="5"/>
  <c r="L252" i="5"/>
  <c r="M251" i="5"/>
  <c r="L251" i="5"/>
  <c r="M250" i="5"/>
  <c r="L250" i="5"/>
  <c r="M249" i="5"/>
  <c r="L249" i="5"/>
  <c r="M248" i="5"/>
  <c r="L248" i="5"/>
  <c r="M247" i="5"/>
  <c r="L247" i="5"/>
  <c r="M246" i="5"/>
  <c r="L246" i="5"/>
  <c r="M245" i="5"/>
  <c r="L245" i="5"/>
  <c r="M244" i="5"/>
  <c r="L244" i="5"/>
  <c r="M243" i="5"/>
  <c r="L243" i="5"/>
  <c r="M242" i="5"/>
  <c r="L242" i="5"/>
  <c r="M241" i="5"/>
  <c r="L241" i="5"/>
  <c r="M240" i="5"/>
  <c r="L240" i="5"/>
  <c r="M239" i="5"/>
  <c r="L239" i="5"/>
  <c r="M238" i="5"/>
  <c r="L238" i="5"/>
  <c r="M237" i="5"/>
  <c r="L237" i="5"/>
  <c r="M236" i="5"/>
  <c r="L236" i="5"/>
  <c r="M235" i="5"/>
  <c r="L235" i="5"/>
  <c r="M234" i="5"/>
  <c r="L234" i="5"/>
  <c r="M233" i="5"/>
  <c r="L233" i="5"/>
  <c r="M232" i="5"/>
  <c r="L232" i="5"/>
  <c r="M231" i="5"/>
  <c r="L231" i="5"/>
  <c r="M230" i="5"/>
  <c r="L230" i="5"/>
  <c r="M229" i="5"/>
  <c r="L229" i="5"/>
  <c r="M228" i="5"/>
  <c r="L228" i="5"/>
  <c r="M227" i="5"/>
  <c r="L227" i="5"/>
  <c r="M226" i="5"/>
  <c r="L226" i="5"/>
  <c r="M225" i="5"/>
  <c r="L225" i="5"/>
  <c r="M224" i="5"/>
  <c r="L224" i="5"/>
  <c r="M223" i="5"/>
  <c r="L223" i="5"/>
  <c r="M222" i="5"/>
  <c r="L222" i="5"/>
  <c r="M221" i="5"/>
  <c r="L221" i="5"/>
  <c r="M220" i="5"/>
  <c r="L220" i="5"/>
  <c r="M219" i="5"/>
  <c r="L219" i="5"/>
  <c r="M218" i="5"/>
  <c r="L218" i="5"/>
  <c r="M217" i="5"/>
  <c r="L217" i="5"/>
  <c r="M216" i="5"/>
  <c r="L216" i="5"/>
  <c r="M215" i="5"/>
  <c r="L215" i="5"/>
  <c r="M214" i="5"/>
  <c r="L214" i="5"/>
  <c r="M213" i="5"/>
  <c r="L213" i="5"/>
  <c r="M212" i="5"/>
  <c r="L212" i="5"/>
  <c r="M211" i="5"/>
  <c r="L211" i="5"/>
  <c r="M210" i="5"/>
  <c r="L210" i="5"/>
  <c r="M209" i="5"/>
  <c r="L209" i="5"/>
  <c r="M208" i="5"/>
  <c r="L208" i="5"/>
  <c r="M207" i="5"/>
  <c r="L207" i="5"/>
  <c r="M206" i="5"/>
  <c r="L206" i="5"/>
  <c r="M205" i="5"/>
  <c r="L205" i="5"/>
  <c r="M204" i="5"/>
  <c r="L204" i="5"/>
  <c r="M203" i="5"/>
  <c r="L203" i="5"/>
  <c r="M202" i="5"/>
  <c r="L202" i="5"/>
  <c r="M201" i="5"/>
  <c r="L201" i="5"/>
  <c r="M200" i="5"/>
  <c r="L200" i="5"/>
  <c r="M199" i="5"/>
  <c r="L199" i="5"/>
  <c r="M198" i="5"/>
  <c r="L198" i="5"/>
  <c r="M197" i="5"/>
  <c r="L197" i="5"/>
  <c r="M196" i="5"/>
  <c r="L196" i="5"/>
  <c r="M195" i="5"/>
  <c r="L195" i="5"/>
  <c r="M194" i="5"/>
  <c r="L194" i="5"/>
  <c r="M193" i="5"/>
  <c r="L193" i="5"/>
  <c r="M192" i="5"/>
  <c r="L192" i="5"/>
  <c r="M191" i="5"/>
  <c r="L191" i="5"/>
  <c r="M190" i="5"/>
  <c r="L190" i="5"/>
  <c r="M189" i="5"/>
  <c r="L189" i="5"/>
  <c r="M188" i="5"/>
  <c r="L188" i="5"/>
  <c r="M187" i="5"/>
  <c r="L187" i="5"/>
  <c r="M186" i="5"/>
  <c r="L186" i="5"/>
  <c r="M185" i="5"/>
  <c r="L185" i="5"/>
  <c r="M184" i="5"/>
  <c r="L184" i="5"/>
  <c r="M183" i="5"/>
  <c r="L183" i="5"/>
  <c r="M182" i="5"/>
  <c r="L182" i="5"/>
  <c r="M181" i="5"/>
  <c r="L181" i="5"/>
  <c r="M180" i="5"/>
  <c r="L180" i="5"/>
  <c r="M179" i="5"/>
  <c r="L179" i="5"/>
  <c r="M178" i="5"/>
  <c r="L178" i="5"/>
  <c r="M177" i="5"/>
  <c r="L177" i="5"/>
  <c r="M176" i="5"/>
  <c r="L176" i="5"/>
  <c r="M175" i="5"/>
  <c r="L175" i="5"/>
  <c r="M174" i="5"/>
  <c r="L174" i="5"/>
  <c r="M173" i="5"/>
  <c r="L173" i="5"/>
  <c r="M172" i="5"/>
  <c r="L172" i="5"/>
  <c r="M171" i="5"/>
  <c r="L171" i="5"/>
  <c r="M170" i="5"/>
  <c r="L170" i="5"/>
  <c r="M169" i="5"/>
  <c r="L169" i="5"/>
  <c r="M168" i="5"/>
  <c r="L168" i="5"/>
  <c r="M167" i="5"/>
  <c r="L167" i="5"/>
  <c r="M166" i="5"/>
  <c r="L166" i="5"/>
  <c r="M165" i="5"/>
  <c r="L165" i="5"/>
  <c r="M164" i="5"/>
  <c r="L164" i="5"/>
  <c r="M163" i="5"/>
  <c r="L163" i="5"/>
  <c r="M162" i="5"/>
  <c r="L162" i="5"/>
  <c r="M161" i="5"/>
  <c r="L161" i="5"/>
  <c r="M160" i="5"/>
  <c r="L160" i="5"/>
  <c r="M159" i="5"/>
  <c r="L159" i="5"/>
  <c r="M158" i="5"/>
  <c r="L158" i="5"/>
  <c r="M157" i="5"/>
  <c r="L157" i="5"/>
  <c r="M156" i="5"/>
  <c r="L156" i="5"/>
  <c r="M155" i="5"/>
  <c r="L155" i="5"/>
  <c r="M154" i="5"/>
  <c r="L154" i="5"/>
  <c r="M153" i="5"/>
  <c r="L153" i="5"/>
  <c r="M152" i="5"/>
  <c r="L152" i="5"/>
  <c r="M151" i="5"/>
  <c r="L151" i="5"/>
  <c r="M150" i="5"/>
  <c r="L150" i="5"/>
  <c r="M149" i="5"/>
  <c r="L149" i="5"/>
  <c r="M148" i="5"/>
  <c r="L148" i="5"/>
  <c r="M147" i="5"/>
  <c r="L147" i="5"/>
  <c r="M146" i="5"/>
  <c r="L146" i="5"/>
  <c r="M145" i="5"/>
  <c r="L145" i="5"/>
  <c r="M144" i="5"/>
  <c r="L144" i="5"/>
  <c r="M143" i="5"/>
  <c r="L143" i="5"/>
  <c r="M142" i="5"/>
  <c r="L142" i="5"/>
  <c r="M141" i="5"/>
  <c r="L141" i="5"/>
  <c r="M140" i="5"/>
  <c r="L140" i="5"/>
  <c r="M139" i="5"/>
  <c r="L139" i="5"/>
  <c r="M138" i="5"/>
  <c r="L138" i="5"/>
  <c r="M137" i="5"/>
  <c r="L137" i="5"/>
  <c r="M136" i="5"/>
  <c r="L136" i="5"/>
  <c r="M135" i="5"/>
  <c r="L135" i="5"/>
  <c r="M134" i="5"/>
  <c r="L134" i="5"/>
  <c r="M133" i="5"/>
  <c r="L133" i="5"/>
  <c r="M132" i="5"/>
  <c r="L132" i="5"/>
  <c r="M131" i="5"/>
  <c r="L131" i="5"/>
  <c r="M130" i="5"/>
  <c r="L130" i="5"/>
  <c r="M129" i="5"/>
  <c r="L129" i="5"/>
  <c r="M128" i="5"/>
  <c r="L128" i="5"/>
  <c r="M127" i="5"/>
  <c r="L127" i="5"/>
  <c r="M126" i="5"/>
  <c r="L126" i="5"/>
  <c r="M125" i="5"/>
  <c r="L125" i="5"/>
  <c r="M124" i="5"/>
  <c r="L124" i="5"/>
  <c r="M123" i="5"/>
  <c r="L123" i="5"/>
  <c r="M122" i="5"/>
  <c r="L122" i="5"/>
  <c r="M121" i="5"/>
  <c r="L121" i="5"/>
  <c r="M120" i="5"/>
  <c r="L120" i="5"/>
  <c r="M119" i="5"/>
  <c r="L119" i="5"/>
  <c r="M118" i="5"/>
  <c r="L118" i="5"/>
  <c r="M117" i="5"/>
  <c r="L117" i="5"/>
  <c r="M116" i="5"/>
  <c r="L116" i="5"/>
  <c r="M115" i="5"/>
  <c r="L115" i="5"/>
  <c r="M114" i="5"/>
  <c r="L114" i="5"/>
  <c r="M113" i="5"/>
  <c r="L113" i="5"/>
  <c r="M112" i="5"/>
  <c r="L112" i="5"/>
  <c r="M111" i="5"/>
  <c r="L111" i="5"/>
  <c r="M110" i="5"/>
  <c r="L110" i="5"/>
  <c r="M109" i="5"/>
  <c r="L109" i="5"/>
  <c r="M108" i="5"/>
  <c r="L108" i="5"/>
  <c r="M107" i="5"/>
  <c r="L107" i="5"/>
  <c r="M106" i="5"/>
  <c r="L106" i="5"/>
  <c r="M105" i="5"/>
  <c r="L105" i="5"/>
  <c r="M104" i="5"/>
  <c r="L104" i="5"/>
  <c r="M103" i="5"/>
  <c r="L103" i="5"/>
  <c r="M102" i="5"/>
  <c r="L102" i="5"/>
  <c r="M101" i="5"/>
  <c r="L101" i="5"/>
  <c r="M100" i="5"/>
  <c r="L100" i="5"/>
  <c r="M99" i="5"/>
  <c r="L99" i="5"/>
  <c r="M98" i="5"/>
  <c r="L98" i="5"/>
  <c r="M97" i="5"/>
  <c r="L97" i="5"/>
  <c r="M96" i="5"/>
  <c r="L96" i="5"/>
  <c r="M95" i="5"/>
  <c r="L95" i="5"/>
  <c r="M94" i="5"/>
  <c r="L94" i="5"/>
  <c r="M93" i="5"/>
  <c r="L93" i="5"/>
  <c r="M92" i="5"/>
  <c r="L92" i="5"/>
  <c r="M91" i="5"/>
  <c r="L91" i="5"/>
  <c r="M90" i="5"/>
  <c r="L90" i="5"/>
  <c r="M89" i="5"/>
  <c r="L89" i="5"/>
  <c r="M88" i="5"/>
  <c r="L88" i="5"/>
  <c r="M87" i="5"/>
  <c r="L87" i="5"/>
  <c r="M86" i="5"/>
  <c r="L86" i="5"/>
  <c r="M85" i="5"/>
  <c r="L85" i="5"/>
  <c r="M84" i="5"/>
  <c r="L84" i="5"/>
  <c r="M83" i="5"/>
  <c r="L83" i="5"/>
  <c r="M82" i="5"/>
  <c r="L82" i="5"/>
  <c r="M81" i="5"/>
  <c r="L81" i="5"/>
  <c r="M80" i="5"/>
  <c r="L80" i="5"/>
  <c r="M79" i="5"/>
  <c r="L79" i="5"/>
  <c r="M78" i="5"/>
  <c r="L78" i="5"/>
  <c r="M77" i="5"/>
  <c r="L77" i="5"/>
  <c r="M76" i="5"/>
  <c r="L76" i="5"/>
  <c r="M75" i="5"/>
  <c r="L75" i="5"/>
  <c r="M74" i="5"/>
  <c r="L74" i="5"/>
  <c r="M73" i="5"/>
  <c r="L73" i="5"/>
  <c r="M72" i="5"/>
  <c r="L72" i="5"/>
  <c r="M71" i="5"/>
  <c r="L71" i="5"/>
  <c r="M70" i="5"/>
  <c r="L70" i="5"/>
  <c r="M69" i="5"/>
  <c r="L69" i="5"/>
  <c r="M68" i="5"/>
  <c r="L68" i="5"/>
  <c r="M67" i="5"/>
  <c r="L67" i="5"/>
  <c r="M66" i="5"/>
  <c r="L66" i="5"/>
  <c r="M65" i="5"/>
  <c r="L65" i="5"/>
  <c r="M64" i="5"/>
  <c r="L64" i="5"/>
  <c r="M63" i="5"/>
  <c r="L63" i="5"/>
  <c r="M62" i="5"/>
  <c r="L62" i="5"/>
  <c r="M61" i="5"/>
  <c r="L61" i="5"/>
  <c r="M60" i="5"/>
  <c r="L60" i="5"/>
  <c r="M59" i="5"/>
  <c r="L59" i="5"/>
  <c r="M58" i="5"/>
  <c r="L58" i="5"/>
  <c r="M57" i="5"/>
  <c r="L57" i="5"/>
  <c r="M56" i="5"/>
  <c r="L56" i="5"/>
  <c r="M55" i="5"/>
  <c r="L55" i="5"/>
  <c r="M54" i="5"/>
  <c r="L54" i="5"/>
  <c r="M53" i="5"/>
  <c r="L53" i="5"/>
  <c r="M52" i="5"/>
  <c r="L52" i="5"/>
  <c r="M51" i="5"/>
  <c r="L51" i="5"/>
  <c r="M50" i="5"/>
  <c r="L50" i="5"/>
  <c r="M49" i="5"/>
  <c r="L49" i="5"/>
  <c r="M48" i="5"/>
  <c r="L48" i="5"/>
  <c r="M47" i="5"/>
  <c r="L47" i="5"/>
  <c r="M46" i="5"/>
  <c r="L46" i="5"/>
  <c r="M45" i="5"/>
  <c r="L45" i="5"/>
  <c r="M44" i="5"/>
  <c r="L44" i="5"/>
  <c r="M43" i="5"/>
  <c r="L43" i="5"/>
  <c r="M42" i="5"/>
  <c r="L42" i="5"/>
  <c r="M41" i="5"/>
  <c r="L41" i="5"/>
  <c r="M40" i="5"/>
  <c r="L40" i="5"/>
  <c r="M39" i="5"/>
  <c r="L39" i="5"/>
  <c r="M38" i="5"/>
  <c r="L38" i="5"/>
  <c r="M37" i="5"/>
  <c r="L37" i="5"/>
  <c r="M36" i="5"/>
  <c r="L36" i="5"/>
  <c r="M35" i="5"/>
  <c r="L35" i="5"/>
  <c r="M34" i="5"/>
  <c r="L34" i="5"/>
  <c r="M33" i="5"/>
  <c r="L33" i="5"/>
  <c r="M32" i="5"/>
  <c r="L32" i="5"/>
  <c r="M31" i="5"/>
  <c r="L31" i="5"/>
  <c r="M30" i="5"/>
  <c r="L30" i="5"/>
  <c r="M29" i="5"/>
  <c r="L29" i="5"/>
  <c r="M28" i="5"/>
  <c r="L28" i="5"/>
  <c r="M27" i="5"/>
  <c r="L27" i="5"/>
  <c r="M26" i="5"/>
  <c r="L26" i="5"/>
  <c r="M25" i="5"/>
  <c r="L25" i="5"/>
  <c r="M24" i="5"/>
  <c r="L24" i="5"/>
  <c r="M23" i="5"/>
  <c r="L23" i="5"/>
  <c r="M22" i="5"/>
  <c r="L22" i="5"/>
  <c r="M21" i="5"/>
  <c r="L21" i="5"/>
  <c r="M20" i="5"/>
  <c r="L20" i="5"/>
  <c r="M19" i="5"/>
  <c r="L19" i="5"/>
  <c r="M18" i="5"/>
  <c r="L18" i="5"/>
  <c r="M17" i="5"/>
  <c r="L17" i="5"/>
  <c r="M16" i="5"/>
  <c r="L16" i="5"/>
  <c r="M15" i="5"/>
  <c r="L15" i="5"/>
  <c r="M14" i="5"/>
  <c r="L14" i="5"/>
  <c r="M13" i="5"/>
  <c r="L13" i="5"/>
  <c r="M12" i="5"/>
  <c r="L12" i="5"/>
  <c r="M11" i="5"/>
  <c r="L11" i="5"/>
  <c r="M10" i="5"/>
  <c r="L10" i="5"/>
  <c r="M9" i="5"/>
  <c r="L9" i="5"/>
  <c r="M8" i="5"/>
  <c r="L8" i="5"/>
  <c r="M7" i="5"/>
  <c r="L7" i="5"/>
  <c r="M6" i="5"/>
  <c r="L6" i="5"/>
  <c r="M5" i="5"/>
  <c r="L5" i="5"/>
  <c r="M4" i="5"/>
  <c r="L4" i="5"/>
  <c r="M3" i="5"/>
  <c r="L3" i="5"/>
  <c r="M2" i="5"/>
  <c r="L2" i="5"/>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D75" i="4" l="1"/>
  <c r="B9" i="3" l="1"/>
  <c r="B8" i="3"/>
  <c r="B7" i="3"/>
  <c r="B6" i="3"/>
  <c r="B5" i="3"/>
  <c r="B4" i="3"/>
  <c r="B2" i="3"/>
  <c r="B3" i="3"/>
</calcChain>
</file>

<file path=xl/sharedStrings.xml><?xml version="1.0" encoding="utf-8"?>
<sst xmlns="http://schemas.openxmlformats.org/spreadsheetml/2006/main" count="4416" uniqueCount="54">
  <si>
    <t>Customer ID</t>
  </si>
  <si>
    <t>Gender</t>
  </si>
  <si>
    <t>Age</t>
  </si>
  <si>
    <t>City</t>
  </si>
  <si>
    <t>Membership Type</t>
  </si>
  <si>
    <t>Total Spend</t>
  </si>
  <si>
    <t>Items Purchased</t>
  </si>
  <si>
    <t>Average Rating</t>
  </si>
  <si>
    <t>Discount Applied</t>
  </si>
  <si>
    <t>Days Since Last Purchase</t>
  </si>
  <si>
    <t>Satisfaction Level</t>
  </si>
  <si>
    <t>Female</t>
  </si>
  <si>
    <t>New York</t>
  </si>
  <si>
    <t>Gold</t>
  </si>
  <si>
    <t>Satisfied</t>
  </si>
  <si>
    <t>Male</t>
  </si>
  <si>
    <t>Los Angeles</t>
  </si>
  <si>
    <t>Silver</t>
  </si>
  <si>
    <t>Neutral</t>
  </si>
  <si>
    <t>Chicago</t>
  </si>
  <si>
    <t>Bronze</t>
  </si>
  <si>
    <t>Unsatisfied</t>
  </si>
  <si>
    <t>San Francisco</t>
  </si>
  <si>
    <t>Miami</t>
  </si>
  <si>
    <t>Houston</t>
  </si>
  <si>
    <t>Column A</t>
  </si>
  <si>
    <t>Column B</t>
  </si>
  <si>
    <t>Total Revenue</t>
  </si>
  <si>
    <t>Average Spend</t>
  </si>
  <si>
    <t>Median Age</t>
  </si>
  <si>
    <t>Customer Count</t>
  </si>
  <si>
    <t>Standard Deviation</t>
  </si>
  <si>
    <t>Membership Distribution Gold</t>
  </si>
  <si>
    <t>Membership Distribution Silver</t>
  </si>
  <si>
    <t>Membership Distribution Bronze</t>
  </si>
  <si>
    <t>Row Labels</t>
  </si>
  <si>
    <t>Column Labels</t>
  </si>
  <si>
    <t>Sum of Total Spend</t>
  </si>
  <si>
    <t>Customer segment by City</t>
  </si>
  <si>
    <t xml:space="preserve">   Which customer segments (by age, city, membership, gender) spend the most and show highest satisfaction?  </t>
  </si>
  <si>
    <t xml:space="preserve"> Customer Segment by Age</t>
  </si>
  <si>
    <t xml:space="preserve"> Customer Segment by Membership</t>
  </si>
  <si>
    <t xml:space="preserve"> Customer Segment by Gender</t>
  </si>
  <si>
    <t>26-35</t>
  </si>
  <si>
    <t>36-45</t>
  </si>
  <si>
    <t>Count of Customer ID</t>
  </si>
  <si>
    <t>Grand Total</t>
  </si>
  <si>
    <t>FALSE</t>
  </si>
  <si>
    <t>TRUE</t>
  </si>
  <si>
    <t>DSLP in weeks</t>
  </si>
  <si>
    <t>At Risk</t>
  </si>
  <si>
    <t>No Risk</t>
  </si>
  <si>
    <t xml:space="preserve"> Churn Risk</t>
  </si>
  <si>
    <t>Count of  Churn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</si>
</sst>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409]* #,##0.00_ ;_-[$$-409]* \-#,##0.00\ ;_-[$$-409]* &quot;-&quot;??_ ;_-@_ "/>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000000"/>
      <name val="Arial"/>
      <family val="2"/>
    </font>
    <font>
      <b/>
      <sz val="12"/>
      <color theme="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64" fontId="0" fillId="0" borderId="0" xfId="0" applyNumberFormat="1"/>
    <xf numFmtId="0" fontId="0" fillId="0" borderId="0" xfId="0" applyNumberFormat="1"/>
    <xf numFmtId="164" fontId="0" fillId="0" borderId="0" xfId="1" applyNumberFormat="1" applyFont="1"/>
    <xf numFmtId="2" fontId="0" fillId="0" borderId="0" xfId="0" applyNumberFormat="1"/>
    <xf numFmtId="0" fontId="0" fillId="0" borderId="0" xfId="0" pivotButton="1"/>
    <xf numFmtId="0" fontId="0" fillId="0" borderId="0" xfId="0" applyAlignment="1">
      <alignment horizontal="left"/>
    </xf>
    <xf numFmtId="0" fontId="19" fillId="0" borderId="0" xfId="0" applyFont="1"/>
    <xf numFmtId="0" fontId="18" fillId="0" borderId="0" xfId="0" applyFont="1"/>
    <xf numFmtId="165" fontId="0" fillId="0" borderId="0" xfId="0" applyNumberFormat="1"/>
    <xf numFmtId="9" fontId="0" fillId="0" borderId="0" xfId="43" applyFont="1"/>
    <xf numFmtId="10" fontId="0" fillId="0" borderId="0" xfId="0" applyNumberFormat="1"/>
    <xf numFmtId="0" fontId="0" fillId="0" borderId="0" xfId="0" applyAlignment="1">
      <alignment horizontal="center"/>
    </xf>
    <xf numFmtId="9"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31">
    <dxf>
      <numFmt numFmtId="165" formatCode="_-[$$-409]* #,##0_ ;_-[$$-409]* \-#,##0\ ;_-[$$-409]* &quot;-&quot;??_ ;_-@_ "/>
    </dxf>
    <dxf>
      <numFmt numFmtId="1" formatCode="0"/>
    </dxf>
    <dxf>
      <numFmt numFmtId="1" formatCode="0"/>
    </dxf>
    <dxf>
      <numFmt numFmtId="1" formatCode="0"/>
    </dxf>
    <dxf>
      <numFmt numFmtId="1" formatCode="0"/>
    </dxf>
    <dxf>
      <numFmt numFmtId="1" formatCode="0"/>
    </dxf>
    <dxf>
      <numFmt numFmtId="13" formatCode="0%"/>
    </dxf>
    <dxf>
      <numFmt numFmtId="2" formatCode="0.00"/>
    </dxf>
    <dxf>
      <numFmt numFmtId="13" formatCode="0%"/>
    </dxf>
    <dxf>
      <numFmt numFmtId="165" formatCode="_-[$$-409]* #,##0_ ;_-[$$-409]* \-#,##0\ ;_-[$$-409]* &quot;-&quot;??_ ;_-@_ "/>
    </dxf>
    <dxf>
      <numFmt numFmtId="2" formatCode="0.00"/>
    </dxf>
    <dxf>
      <numFmt numFmtId="34" formatCode="_-&quot;₦&quot;* #,##0.00_-;\-&quot;₦&quot;* #,##0.00_-;_-&quot;₦&quot;* &quot;-&quot;??_-;_-@_-"/>
    </dxf>
    <dxf>
      <numFmt numFmtId="13" formatCode="0%"/>
    </dxf>
    <dxf>
      <numFmt numFmtId="165" formatCode="_-[$$-409]* #,##0_ ;_-[$$-409]* \-#,##0\ ;_-[$$-409]* &quot;-&quot;??_ ;_-@_ "/>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Customer Spending Satisfaction</a:t>
            </a:r>
            <a:r>
              <a:rPr lang="en-US" b="1" baseline="0">
                <a:solidFill>
                  <a:schemeClr val="accent1"/>
                </a:solidFill>
              </a:rPr>
              <a:t> by City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'PIVOT TABLE'!$B$3:$B$4</c:f>
              <c:strCache>
                <c:ptCount val="1"/>
                <c:pt idx="0">
                  <c:v>Neutral</c:v>
                </c:pt>
              </c:strCache>
            </c:strRef>
          </c:tx>
          <c:spPr>
            <a:solidFill>
              <a:schemeClr val="accent1"/>
            </a:solidFill>
            <a:ln>
              <a:noFill/>
            </a:ln>
            <a:effectLst/>
          </c:spPr>
          <c:invertIfNegative val="0"/>
          <c:cat>
            <c:strRef>
              <c:f>'PIVOT TABLE'!$A$5:$A$10</c:f>
              <c:strCache>
                <c:ptCount val="6"/>
                <c:pt idx="0">
                  <c:v>San Francisco</c:v>
                </c:pt>
                <c:pt idx="1">
                  <c:v>New York</c:v>
                </c:pt>
                <c:pt idx="2">
                  <c:v>Los Angeles</c:v>
                </c:pt>
                <c:pt idx="3">
                  <c:v>Miami</c:v>
                </c:pt>
                <c:pt idx="4">
                  <c:v>Chicago</c:v>
                </c:pt>
                <c:pt idx="5">
                  <c:v>Houston</c:v>
                </c:pt>
              </c:strCache>
            </c:strRef>
          </c:cat>
          <c:val>
            <c:numRef>
              <c:f>'PIVOT TABLE'!$B$5:$B$10</c:f>
              <c:numCache>
                <c:formatCode>General</c:formatCode>
                <c:ptCount val="6"/>
                <c:pt idx="2">
                  <c:v>40888.000000000015</c:v>
                </c:pt>
                <c:pt idx="5">
                  <c:v>25919.899999999987</c:v>
                </c:pt>
              </c:numCache>
            </c:numRef>
          </c:val>
          <c:extLst>
            <c:ext xmlns:c16="http://schemas.microsoft.com/office/drawing/2014/chart" uri="{C3380CC4-5D6E-409C-BE32-E72D297353CC}">
              <c16:uniqueId val="{00000000-49E9-466C-8AAF-4CC8933C4141}"/>
            </c:ext>
          </c:extLst>
        </c:ser>
        <c:ser>
          <c:idx val="1"/>
          <c:order val="1"/>
          <c:tx>
            <c:strRef>
              <c:f>'PIVOT TABLE'!$C$3:$C$4</c:f>
              <c:strCache>
                <c:ptCount val="1"/>
                <c:pt idx="0">
                  <c:v>Satisfied</c:v>
                </c:pt>
              </c:strCache>
            </c:strRef>
          </c:tx>
          <c:spPr>
            <a:solidFill>
              <a:schemeClr val="accent2"/>
            </a:solidFill>
            <a:ln>
              <a:noFill/>
            </a:ln>
            <a:effectLst/>
          </c:spPr>
          <c:invertIfNegative val="0"/>
          <c:cat>
            <c:strRef>
              <c:f>'PIVOT TABLE'!$A$5:$A$10</c:f>
              <c:strCache>
                <c:ptCount val="6"/>
                <c:pt idx="0">
                  <c:v>San Francisco</c:v>
                </c:pt>
                <c:pt idx="1">
                  <c:v>New York</c:v>
                </c:pt>
                <c:pt idx="2">
                  <c:v>Los Angeles</c:v>
                </c:pt>
                <c:pt idx="3">
                  <c:v>Miami</c:v>
                </c:pt>
                <c:pt idx="4">
                  <c:v>Chicago</c:v>
                </c:pt>
                <c:pt idx="5">
                  <c:v>Houston</c:v>
                </c:pt>
              </c:strCache>
            </c:strRef>
          </c:cat>
          <c:val>
            <c:numRef>
              <c:f>'PIVOT TABLE'!$C$5:$C$10</c:f>
              <c:numCache>
                <c:formatCode>General</c:formatCode>
                <c:ptCount val="6"/>
                <c:pt idx="0">
                  <c:v>84666.800000000017</c:v>
                </c:pt>
                <c:pt idx="1">
                  <c:v>68737.10000000002</c:v>
                </c:pt>
                <c:pt idx="2">
                  <c:v>6636</c:v>
                </c:pt>
              </c:numCache>
            </c:numRef>
          </c:val>
          <c:extLst>
            <c:ext xmlns:c16="http://schemas.microsoft.com/office/drawing/2014/chart" uri="{C3380CC4-5D6E-409C-BE32-E72D297353CC}">
              <c16:uniqueId val="{00000001-49E9-466C-8AAF-4CC8933C4141}"/>
            </c:ext>
          </c:extLst>
        </c:ser>
        <c:ser>
          <c:idx val="2"/>
          <c:order val="2"/>
          <c:tx>
            <c:strRef>
              <c:f>'PIVOT TABLE'!$D$3:$D$4</c:f>
              <c:strCache>
                <c:ptCount val="1"/>
                <c:pt idx="0">
                  <c:v>Unsatisfied</c:v>
                </c:pt>
              </c:strCache>
            </c:strRef>
          </c:tx>
          <c:spPr>
            <a:solidFill>
              <a:schemeClr val="accent3"/>
            </a:solidFill>
            <a:ln>
              <a:noFill/>
            </a:ln>
            <a:effectLst/>
          </c:spPr>
          <c:invertIfNegative val="0"/>
          <c:cat>
            <c:strRef>
              <c:f>'PIVOT TABLE'!$A$5:$A$10</c:f>
              <c:strCache>
                <c:ptCount val="6"/>
                <c:pt idx="0">
                  <c:v>San Francisco</c:v>
                </c:pt>
                <c:pt idx="1">
                  <c:v>New York</c:v>
                </c:pt>
                <c:pt idx="2">
                  <c:v>Los Angeles</c:v>
                </c:pt>
                <c:pt idx="3">
                  <c:v>Miami</c:v>
                </c:pt>
                <c:pt idx="4">
                  <c:v>Chicago</c:v>
                </c:pt>
                <c:pt idx="5">
                  <c:v>Houston</c:v>
                </c:pt>
              </c:strCache>
            </c:strRef>
          </c:cat>
          <c:val>
            <c:numRef>
              <c:f>'PIVOT TABLE'!$D$5:$D$10</c:f>
              <c:numCache>
                <c:formatCode>General</c:formatCode>
                <c:ptCount val="6"/>
                <c:pt idx="3">
                  <c:v>40042.60000000002</c:v>
                </c:pt>
                <c:pt idx="4">
                  <c:v>28993.200000000001</c:v>
                </c:pt>
              </c:numCache>
            </c:numRef>
          </c:val>
          <c:extLst>
            <c:ext xmlns:c16="http://schemas.microsoft.com/office/drawing/2014/chart" uri="{C3380CC4-5D6E-409C-BE32-E72D297353CC}">
              <c16:uniqueId val="{00000002-49E9-466C-8AAF-4CC8933C4141}"/>
            </c:ext>
          </c:extLst>
        </c:ser>
        <c:dLbls>
          <c:showLegendKey val="0"/>
          <c:showVal val="0"/>
          <c:showCatName val="0"/>
          <c:showSerName val="0"/>
          <c:showPercent val="0"/>
          <c:showBubbleSize val="0"/>
        </c:dLbls>
        <c:gapWidth val="38"/>
        <c:overlap val="100"/>
        <c:axId val="1584464111"/>
        <c:axId val="1653195423"/>
      </c:barChart>
      <c:catAx>
        <c:axId val="1584464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3195423"/>
        <c:crosses val="autoZero"/>
        <c:auto val="1"/>
        <c:lblAlgn val="ctr"/>
        <c:lblOffset val="100"/>
        <c:noMultiLvlLbl val="0"/>
      </c:catAx>
      <c:valAx>
        <c:axId val="1653195423"/>
        <c:scaling>
          <c:orientation val="minMax"/>
        </c:scaling>
        <c:delete val="0"/>
        <c:axPos val="l"/>
        <c:title>
          <c:tx>
            <c:rich>
              <a:bodyPr rot="-5400000" spcFirstLastPara="1" vertOverflow="ellipsis" vert="horz" wrap="square" anchor="t" anchorCtr="0"/>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Total Spending</a:t>
                </a:r>
              </a:p>
            </c:rich>
          </c:tx>
          <c:overlay val="0"/>
          <c:spPr>
            <a:noFill/>
            <a:ln>
              <a:noFill/>
            </a:ln>
            <a:effectLst/>
          </c:spPr>
          <c:txPr>
            <a:bodyPr rot="-5400000" spcFirstLastPara="1" vertOverflow="ellipsis" vert="horz" wrap="square" anchor="t" anchorCtr="0"/>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446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chemeClr val="accent1"/>
                </a:solidFill>
                <a:effectLst/>
              </a:rPr>
              <a:t>Customer Spending Satisfaction by Age</a:t>
            </a:r>
            <a:endParaRPr lang="en-NG" sz="1400">
              <a:solidFill>
                <a:schemeClr val="accent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v>Neutral</c:v>
          </c:tx>
          <c:spPr>
            <a:solidFill>
              <a:schemeClr val="accent1"/>
            </a:solidFill>
            <a:ln>
              <a:noFill/>
            </a:ln>
            <a:effectLst/>
          </c:spPr>
          <c:invertIfNegative val="0"/>
          <c:cat>
            <c:strLit>
              <c:ptCount val="2"/>
              <c:pt idx="0">
                <c:v>36-45</c:v>
              </c:pt>
              <c:pt idx="1">
                <c:v>26-35</c:v>
              </c:pt>
            </c:strLit>
          </c:cat>
          <c:val>
            <c:numLit>
              <c:formatCode>General</c:formatCode>
              <c:ptCount val="2"/>
              <c:pt idx="0">
                <c:v>24617.69999999999</c:v>
              </c:pt>
              <c:pt idx="1">
                <c:v>41338.600000000013</c:v>
              </c:pt>
            </c:numLit>
          </c:val>
          <c:extLst>
            <c:ext xmlns:c16="http://schemas.microsoft.com/office/drawing/2014/chart" uri="{C3380CC4-5D6E-409C-BE32-E72D297353CC}">
              <c16:uniqueId val="{00000000-3F49-4240-9A2A-A5860B8C5DFD}"/>
            </c:ext>
          </c:extLst>
        </c:ser>
        <c:ser>
          <c:idx val="1"/>
          <c:order val="1"/>
          <c:tx>
            <c:v>Satisfied</c:v>
          </c:tx>
          <c:spPr>
            <a:solidFill>
              <a:schemeClr val="accent2"/>
            </a:solidFill>
            <a:ln>
              <a:noFill/>
            </a:ln>
            <a:effectLst/>
          </c:spPr>
          <c:invertIfNegative val="0"/>
          <c:cat>
            <c:strLit>
              <c:ptCount val="2"/>
              <c:pt idx="0">
                <c:v>36-45</c:v>
              </c:pt>
              <c:pt idx="1">
                <c:v>26-35</c:v>
              </c:pt>
            </c:strLit>
          </c:cat>
          <c:val>
            <c:numLit>
              <c:formatCode>General</c:formatCode>
              <c:ptCount val="2"/>
              <c:pt idx="0">
                <c:v>1420.8</c:v>
              </c:pt>
              <c:pt idx="1">
                <c:v>158619.10000000015</c:v>
              </c:pt>
            </c:numLit>
          </c:val>
          <c:extLst>
            <c:ext xmlns:c16="http://schemas.microsoft.com/office/drawing/2014/chart" uri="{C3380CC4-5D6E-409C-BE32-E72D297353CC}">
              <c16:uniqueId val="{00000001-3F49-4240-9A2A-A5860B8C5DFD}"/>
            </c:ext>
          </c:extLst>
        </c:ser>
        <c:ser>
          <c:idx val="2"/>
          <c:order val="2"/>
          <c:tx>
            <c:v>Unsatisfied</c:v>
          </c:tx>
          <c:spPr>
            <a:solidFill>
              <a:schemeClr val="accent3"/>
            </a:solidFill>
            <a:ln>
              <a:noFill/>
            </a:ln>
            <a:effectLst/>
          </c:spPr>
          <c:invertIfNegative val="0"/>
          <c:cat>
            <c:strLit>
              <c:ptCount val="2"/>
              <c:pt idx="0">
                <c:v>36-45</c:v>
              </c:pt>
              <c:pt idx="1">
                <c:v>26-35</c:v>
              </c:pt>
            </c:strLit>
          </c:cat>
          <c:val>
            <c:numLit>
              <c:formatCode>General</c:formatCode>
              <c:ptCount val="2"/>
              <c:pt idx="0">
                <c:v>28993.200000000004</c:v>
              </c:pt>
              <c:pt idx="1">
                <c:v>40042.60000000002</c:v>
              </c:pt>
            </c:numLit>
          </c:val>
          <c:extLst>
            <c:ext xmlns:c16="http://schemas.microsoft.com/office/drawing/2014/chart" uri="{C3380CC4-5D6E-409C-BE32-E72D297353CC}">
              <c16:uniqueId val="{00000002-3F49-4240-9A2A-A5860B8C5DFD}"/>
            </c:ext>
          </c:extLst>
        </c:ser>
        <c:dLbls>
          <c:showLegendKey val="0"/>
          <c:showVal val="0"/>
          <c:showCatName val="0"/>
          <c:showSerName val="0"/>
          <c:showPercent val="0"/>
          <c:showBubbleSize val="0"/>
        </c:dLbls>
        <c:gapWidth val="23"/>
        <c:overlap val="100"/>
        <c:axId val="1657216879"/>
        <c:axId val="2007350767"/>
      </c:barChart>
      <c:catAx>
        <c:axId val="1657216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7350767"/>
        <c:crosses val="autoZero"/>
        <c:auto val="1"/>
        <c:lblAlgn val="ctr"/>
        <c:lblOffset val="100"/>
        <c:noMultiLvlLbl val="0"/>
      </c:catAx>
      <c:valAx>
        <c:axId val="20073507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Total</a:t>
                </a:r>
                <a:r>
                  <a:rPr lang="en-US" b="1" baseline="0">
                    <a:solidFill>
                      <a:schemeClr val="accent1"/>
                    </a:solidFill>
                  </a:rPr>
                  <a:t> Spending</a:t>
                </a:r>
                <a:endParaRPr lang="en-US" b="1">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721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chemeClr val="accent1"/>
                </a:solidFill>
                <a:effectLst/>
              </a:rPr>
              <a:t>Customer Spending Satisfaction by Membership</a:t>
            </a:r>
            <a:endParaRPr lang="en-NG" sz="1400">
              <a:solidFill>
                <a:schemeClr val="accent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'PIVOT TABLE'!$Q$3:$Q$4</c:f>
              <c:strCache>
                <c:ptCount val="1"/>
                <c:pt idx="0">
                  <c:v>Neutral</c:v>
                </c:pt>
              </c:strCache>
            </c:strRef>
          </c:tx>
          <c:spPr>
            <a:solidFill>
              <a:schemeClr val="accent1"/>
            </a:solidFill>
            <a:ln>
              <a:noFill/>
            </a:ln>
            <a:effectLst/>
          </c:spPr>
          <c:invertIfNegative val="0"/>
          <c:cat>
            <c:strRef>
              <c:f>'PIVOT TABLE'!$P$5:$P$7</c:f>
              <c:strCache>
                <c:ptCount val="3"/>
                <c:pt idx="0">
                  <c:v>Silver</c:v>
                </c:pt>
                <c:pt idx="1">
                  <c:v>Bronze</c:v>
                </c:pt>
                <c:pt idx="2">
                  <c:v>Gold</c:v>
                </c:pt>
              </c:strCache>
            </c:strRef>
          </c:cat>
          <c:val>
            <c:numRef>
              <c:f>'PIVOT TABLE'!$Q$5:$Q$7</c:f>
              <c:numCache>
                <c:formatCode>General</c:formatCode>
                <c:ptCount val="3"/>
                <c:pt idx="0">
                  <c:v>40888.000000000015</c:v>
                </c:pt>
                <c:pt idx="1">
                  <c:v>25919.899999999987</c:v>
                </c:pt>
              </c:numCache>
            </c:numRef>
          </c:val>
          <c:extLst>
            <c:ext xmlns:c16="http://schemas.microsoft.com/office/drawing/2014/chart" uri="{C3380CC4-5D6E-409C-BE32-E72D297353CC}">
              <c16:uniqueId val="{00000000-0054-4030-82B2-765A09EEA441}"/>
            </c:ext>
          </c:extLst>
        </c:ser>
        <c:ser>
          <c:idx val="1"/>
          <c:order val="1"/>
          <c:tx>
            <c:strRef>
              <c:f>'PIVOT TABLE'!$R$3:$R$4</c:f>
              <c:strCache>
                <c:ptCount val="1"/>
                <c:pt idx="0">
                  <c:v>Satisfied</c:v>
                </c:pt>
              </c:strCache>
            </c:strRef>
          </c:tx>
          <c:spPr>
            <a:solidFill>
              <a:schemeClr val="accent2"/>
            </a:solidFill>
            <a:ln>
              <a:noFill/>
            </a:ln>
            <a:effectLst/>
          </c:spPr>
          <c:invertIfNegative val="0"/>
          <c:cat>
            <c:strRef>
              <c:f>'PIVOT TABLE'!$P$5:$P$7</c:f>
              <c:strCache>
                <c:ptCount val="3"/>
                <c:pt idx="0">
                  <c:v>Silver</c:v>
                </c:pt>
                <c:pt idx="1">
                  <c:v>Bronze</c:v>
                </c:pt>
                <c:pt idx="2">
                  <c:v>Gold</c:v>
                </c:pt>
              </c:strCache>
            </c:strRef>
          </c:cat>
          <c:val>
            <c:numRef>
              <c:f>'PIVOT TABLE'!$R$5:$R$7</c:f>
              <c:numCache>
                <c:formatCode>General</c:formatCode>
                <c:ptCount val="3"/>
                <c:pt idx="0">
                  <c:v>6636</c:v>
                </c:pt>
                <c:pt idx="2">
                  <c:v>153403.90000000014</c:v>
                </c:pt>
              </c:numCache>
            </c:numRef>
          </c:val>
          <c:extLst>
            <c:ext xmlns:c16="http://schemas.microsoft.com/office/drawing/2014/chart" uri="{C3380CC4-5D6E-409C-BE32-E72D297353CC}">
              <c16:uniqueId val="{00000001-0054-4030-82B2-765A09EEA441}"/>
            </c:ext>
          </c:extLst>
        </c:ser>
        <c:ser>
          <c:idx val="2"/>
          <c:order val="2"/>
          <c:tx>
            <c:strRef>
              <c:f>'PIVOT TABLE'!$S$3:$S$4</c:f>
              <c:strCache>
                <c:ptCount val="1"/>
                <c:pt idx="0">
                  <c:v>Unsatisfied</c:v>
                </c:pt>
              </c:strCache>
            </c:strRef>
          </c:tx>
          <c:spPr>
            <a:solidFill>
              <a:schemeClr val="accent3"/>
            </a:solidFill>
            <a:ln>
              <a:noFill/>
            </a:ln>
            <a:effectLst/>
          </c:spPr>
          <c:invertIfNegative val="0"/>
          <c:cat>
            <c:strRef>
              <c:f>'PIVOT TABLE'!$P$5:$P$7</c:f>
              <c:strCache>
                <c:ptCount val="3"/>
                <c:pt idx="0">
                  <c:v>Silver</c:v>
                </c:pt>
                <c:pt idx="1">
                  <c:v>Bronze</c:v>
                </c:pt>
                <c:pt idx="2">
                  <c:v>Gold</c:v>
                </c:pt>
              </c:strCache>
            </c:strRef>
          </c:cat>
          <c:val>
            <c:numRef>
              <c:f>'PIVOT TABLE'!$S$5:$S$7</c:f>
              <c:numCache>
                <c:formatCode>General</c:formatCode>
                <c:ptCount val="3"/>
                <c:pt idx="0">
                  <c:v>40042.60000000002</c:v>
                </c:pt>
                <c:pt idx="1">
                  <c:v>28993.200000000001</c:v>
                </c:pt>
              </c:numCache>
            </c:numRef>
          </c:val>
          <c:extLst>
            <c:ext xmlns:c16="http://schemas.microsoft.com/office/drawing/2014/chart" uri="{C3380CC4-5D6E-409C-BE32-E72D297353CC}">
              <c16:uniqueId val="{00000002-0054-4030-82B2-765A09EEA441}"/>
            </c:ext>
          </c:extLst>
        </c:ser>
        <c:dLbls>
          <c:showLegendKey val="0"/>
          <c:showVal val="0"/>
          <c:showCatName val="0"/>
          <c:showSerName val="0"/>
          <c:showPercent val="0"/>
          <c:showBubbleSize val="0"/>
        </c:dLbls>
        <c:gapWidth val="47"/>
        <c:overlap val="100"/>
        <c:axId val="2052358319"/>
        <c:axId val="2055391807"/>
      </c:barChart>
      <c:catAx>
        <c:axId val="2052358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Membership</a:t>
                </a:r>
                <a:r>
                  <a:rPr lang="en-US" b="1" baseline="0">
                    <a:solidFill>
                      <a:schemeClr val="accent1"/>
                    </a:solidFill>
                  </a:rPr>
                  <a:t> Style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5391807"/>
        <c:crosses val="autoZero"/>
        <c:auto val="1"/>
        <c:lblAlgn val="ctr"/>
        <c:lblOffset val="100"/>
        <c:noMultiLvlLbl val="0"/>
      </c:catAx>
      <c:valAx>
        <c:axId val="2055391807"/>
        <c:scaling>
          <c:orientation val="minMax"/>
        </c:scaling>
        <c:delete val="0"/>
        <c:axPos val="l"/>
        <c:title>
          <c:tx>
            <c:rich>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Total Spending</a:t>
                </a:r>
              </a:p>
            </c:rich>
          </c:tx>
          <c:overlay val="0"/>
          <c:spPr>
            <a:noFill/>
            <a:ln>
              <a:noFill/>
            </a:ln>
            <a:effectLst/>
          </c:spPr>
          <c:txPr>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235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chemeClr val="accent1"/>
                </a:solidFill>
                <a:effectLst/>
              </a:rPr>
              <a:t>Customer Spending Satisfaction by Gender</a:t>
            </a:r>
            <a:endParaRPr lang="en-NG" sz="1400">
              <a:solidFill>
                <a:schemeClr val="accent1"/>
              </a:solidFill>
              <a:effectLst/>
            </a:endParaRPr>
          </a:p>
        </c:rich>
      </c:tx>
      <c:layout>
        <c:manualLayout>
          <c:xMode val="edge"/>
          <c:yMode val="edge"/>
          <c:x val="0.12248866260138536"/>
          <c:y val="2.7906976744186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0.22852572375821442"/>
          <c:y val="0.17484050540194104"/>
          <c:w val="0.51373607246462616"/>
          <c:h val="0.63549056949276694"/>
        </c:manualLayout>
      </c:layout>
      <c:barChart>
        <c:barDir val="col"/>
        <c:grouping val="stacked"/>
        <c:varyColors val="0"/>
        <c:ser>
          <c:idx val="0"/>
          <c:order val="0"/>
          <c:tx>
            <c:strRef>
              <c:f>'PIVOT TABLE'!$Y$3:$Y$4</c:f>
              <c:strCache>
                <c:ptCount val="1"/>
                <c:pt idx="0">
                  <c:v>Neutral</c:v>
                </c:pt>
              </c:strCache>
            </c:strRef>
          </c:tx>
          <c:spPr>
            <a:solidFill>
              <a:schemeClr val="accent1"/>
            </a:solidFill>
            <a:ln>
              <a:noFill/>
            </a:ln>
            <a:effectLst/>
          </c:spPr>
          <c:invertIfNegative val="0"/>
          <c:cat>
            <c:strRef>
              <c:f>'PIVOT TABLE'!$X$5:$X$6</c:f>
              <c:strCache>
                <c:ptCount val="2"/>
                <c:pt idx="0">
                  <c:v>Female</c:v>
                </c:pt>
                <c:pt idx="1">
                  <c:v>Male</c:v>
                </c:pt>
              </c:strCache>
            </c:strRef>
          </c:cat>
          <c:val>
            <c:numRef>
              <c:f>'PIVOT TABLE'!$Y$5:$Y$6</c:f>
              <c:numCache>
                <c:formatCode>General</c:formatCode>
                <c:ptCount val="2"/>
                <c:pt idx="0">
                  <c:v>25919.899999999987</c:v>
                </c:pt>
                <c:pt idx="1">
                  <c:v>40888.000000000015</c:v>
                </c:pt>
              </c:numCache>
            </c:numRef>
          </c:val>
          <c:extLst>
            <c:ext xmlns:c16="http://schemas.microsoft.com/office/drawing/2014/chart" uri="{C3380CC4-5D6E-409C-BE32-E72D297353CC}">
              <c16:uniqueId val="{00000000-4D54-41ED-9861-382FE58703EE}"/>
            </c:ext>
          </c:extLst>
        </c:ser>
        <c:ser>
          <c:idx val="1"/>
          <c:order val="1"/>
          <c:tx>
            <c:strRef>
              <c:f>'PIVOT TABLE'!$Z$3:$Z$4</c:f>
              <c:strCache>
                <c:ptCount val="1"/>
                <c:pt idx="0">
                  <c:v>Satisfied</c:v>
                </c:pt>
              </c:strCache>
            </c:strRef>
          </c:tx>
          <c:spPr>
            <a:solidFill>
              <a:schemeClr val="accent2"/>
            </a:solidFill>
            <a:ln>
              <a:noFill/>
            </a:ln>
            <a:effectLst/>
          </c:spPr>
          <c:invertIfNegative val="0"/>
          <c:cat>
            <c:strRef>
              <c:f>'PIVOT TABLE'!$X$5:$X$6</c:f>
              <c:strCache>
                <c:ptCount val="2"/>
                <c:pt idx="0">
                  <c:v>Female</c:v>
                </c:pt>
                <c:pt idx="1">
                  <c:v>Male</c:v>
                </c:pt>
              </c:strCache>
            </c:strRef>
          </c:cat>
          <c:val>
            <c:numRef>
              <c:f>'PIVOT TABLE'!$Z$5:$Z$6</c:f>
              <c:numCache>
                <c:formatCode>General</c:formatCode>
                <c:ptCount val="2"/>
                <c:pt idx="0">
                  <c:v>67526.500000000015</c:v>
                </c:pt>
                <c:pt idx="1">
                  <c:v>92513.400000000023</c:v>
                </c:pt>
              </c:numCache>
            </c:numRef>
          </c:val>
          <c:extLst>
            <c:ext xmlns:c16="http://schemas.microsoft.com/office/drawing/2014/chart" uri="{C3380CC4-5D6E-409C-BE32-E72D297353CC}">
              <c16:uniqueId val="{00000004-4D54-41ED-9861-382FE58703EE}"/>
            </c:ext>
          </c:extLst>
        </c:ser>
        <c:ser>
          <c:idx val="2"/>
          <c:order val="2"/>
          <c:tx>
            <c:strRef>
              <c:f>'PIVOT TABLE'!$AA$3:$AA$4</c:f>
              <c:strCache>
                <c:ptCount val="1"/>
                <c:pt idx="0">
                  <c:v>Unsatisfied</c:v>
                </c:pt>
              </c:strCache>
            </c:strRef>
          </c:tx>
          <c:spPr>
            <a:solidFill>
              <a:schemeClr val="accent3"/>
            </a:solidFill>
            <a:ln>
              <a:noFill/>
            </a:ln>
            <a:effectLst/>
          </c:spPr>
          <c:invertIfNegative val="0"/>
          <c:cat>
            <c:strRef>
              <c:f>'PIVOT TABLE'!$X$5:$X$6</c:f>
              <c:strCache>
                <c:ptCount val="2"/>
                <c:pt idx="0">
                  <c:v>Female</c:v>
                </c:pt>
                <c:pt idx="1">
                  <c:v>Male</c:v>
                </c:pt>
              </c:strCache>
            </c:strRef>
          </c:cat>
          <c:val>
            <c:numRef>
              <c:f>'PIVOT TABLE'!$AA$5:$AA$6</c:f>
              <c:numCache>
                <c:formatCode>General</c:formatCode>
                <c:ptCount val="2"/>
                <c:pt idx="0">
                  <c:v>29723.600000000002</c:v>
                </c:pt>
                <c:pt idx="1">
                  <c:v>39312.200000000019</c:v>
                </c:pt>
              </c:numCache>
            </c:numRef>
          </c:val>
          <c:extLst>
            <c:ext xmlns:c16="http://schemas.microsoft.com/office/drawing/2014/chart" uri="{C3380CC4-5D6E-409C-BE32-E72D297353CC}">
              <c16:uniqueId val="{00000005-4D54-41ED-9861-382FE58703EE}"/>
            </c:ext>
          </c:extLst>
        </c:ser>
        <c:dLbls>
          <c:showLegendKey val="0"/>
          <c:showVal val="0"/>
          <c:showCatName val="0"/>
          <c:showSerName val="0"/>
          <c:showPercent val="0"/>
          <c:showBubbleSize val="0"/>
        </c:dLbls>
        <c:gapWidth val="150"/>
        <c:overlap val="100"/>
        <c:axId val="2047512591"/>
        <c:axId val="2057343551"/>
      </c:barChart>
      <c:catAx>
        <c:axId val="2047512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7343551"/>
        <c:crosses val="autoZero"/>
        <c:auto val="1"/>
        <c:lblAlgn val="ctr"/>
        <c:lblOffset val="100"/>
        <c:noMultiLvlLbl val="0"/>
      </c:catAx>
      <c:valAx>
        <c:axId val="2057343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rPr>
                  <a:t>Total</a:t>
                </a:r>
                <a:r>
                  <a:rPr lang="en-US"/>
                  <a:t> </a:t>
                </a:r>
                <a:r>
                  <a:rPr lang="en-US" b="1">
                    <a:solidFill>
                      <a:schemeClr val="accent1"/>
                    </a:solidFill>
                  </a:rPr>
                  <a:t>Spending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751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TABLE!PivotTable7</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 TABLE'!$B$52:$B$53</c:f>
              <c:strCache>
                <c:ptCount val="1"/>
                <c:pt idx="0">
                  <c:v>Bronze</c:v>
                </c:pt>
              </c:strCache>
            </c:strRef>
          </c:tx>
          <c:spPr>
            <a:solidFill>
              <a:schemeClr val="accent1"/>
            </a:solidFill>
            <a:ln>
              <a:noFill/>
            </a:ln>
            <a:effectLst/>
          </c:spPr>
          <c:invertIfNegative val="0"/>
          <c:cat>
            <c:strRef>
              <c:f>'PIVOT TABLE'!$A$54:$A$55</c:f>
              <c:strCache>
                <c:ptCount val="2"/>
                <c:pt idx="0">
                  <c:v>36-45</c:v>
                </c:pt>
                <c:pt idx="1">
                  <c:v>26-35</c:v>
                </c:pt>
              </c:strCache>
            </c:strRef>
          </c:cat>
          <c:val>
            <c:numRef>
              <c:f>'PIVOT TABLE'!$B$54:$B$55</c:f>
              <c:numCache>
                <c:formatCode>General</c:formatCode>
                <c:ptCount val="2"/>
                <c:pt idx="0">
                  <c:v>54462.500000000036</c:v>
                </c:pt>
                <c:pt idx="1">
                  <c:v>450.6</c:v>
                </c:pt>
              </c:numCache>
            </c:numRef>
          </c:val>
          <c:extLst>
            <c:ext xmlns:c16="http://schemas.microsoft.com/office/drawing/2014/chart" uri="{C3380CC4-5D6E-409C-BE32-E72D297353CC}">
              <c16:uniqueId val="{00000000-0CC8-43F1-9447-1F00D5274596}"/>
            </c:ext>
          </c:extLst>
        </c:ser>
        <c:ser>
          <c:idx val="1"/>
          <c:order val="1"/>
          <c:tx>
            <c:strRef>
              <c:f>'PIVOT TABLE'!$C$52:$C$53</c:f>
              <c:strCache>
                <c:ptCount val="1"/>
                <c:pt idx="0">
                  <c:v>Gold</c:v>
                </c:pt>
              </c:strCache>
            </c:strRef>
          </c:tx>
          <c:spPr>
            <a:solidFill>
              <a:schemeClr val="accent2"/>
            </a:solidFill>
            <a:ln>
              <a:noFill/>
            </a:ln>
            <a:effectLst/>
          </c:spPr>
          <c:invertIfNegative val="0"/>
          <c:cat>
            <c:strRef>
              <c:f>'PIVOT TABLE'!$A$54:$A$55</c:f>
              <c:strCache>
                <c:ptCount val="2"/>
                <c:pt idx="0">
                  <c:v>36-45</c:v>
                </c:pt>
                <c:pt idx="1">
                  <c:v>26-35</c:v>
                </c:pt>
              </c:strCache>
            </c:strRef>
          </c:cat>
          <c:val>
            <c:numRef>
              <c:f>'PIVOT TABLE'!$C$54:$C$55</c:f>
              <c:numCache>
                <c:formatCode>General</c:formatCode>
                <c:ptCount val="2"/>
                <c:pt idx="0">
                  <c:v>1420.8</c:v>
                </c:pt>
                <c:pt idx="1">
                  <c:v>151983.10000000015</c:v>
                </c:pt>
              </c:numCache>
            </c:numRef>
          </c:val>
          <c:extLst>
            <c:ext xmlns:c16="http://schemas.microsoft.com/office/drawing/2014/chart" uri="{C3380CC4-5D6E-409C-BE32-E72D297353CC}">
              <c16:uniqueId val="{00000001-0CC8-43F1-9447-1F00D5274596}"/>
            </c:ext>
          </c:extLst>
        </c:ser>
        <c:ser>
          <c:idx val="2"/>
          <c:order val="2"/>
          <c:tx>
            <c:strRef>
              <c:f>'PIVOT TABLE'!$D$52:$D$53</c:f>
              <c:strCache>
                <c:ptCount val="1"/>
                <c:pt idx="0">
                  <c:v>Silver</c:v>
                </c:pt>
              </c:strCache>
            </c:strRef>
          </c:tx>
          <c:spPr>
            <a:solidFill>
              <a:schemeClr val="accent3"/>
            </a:solidFill>
            <a:ln>
              <a:noFill/>
            </a:ln>
            <a:effectLst/>
          </c:spPr>
          <c:invertIfNegative val="0"/>
          <c:cat>
            <c:strRef>
              <c:f>'PIVOT TABLE'!$A$54:$A$55</c:f>
              <c:strCache>
                <c:ptCount val="2"/>
                <c:pt idx="0">
                  <c:v>36-45</c:v>
                </c:pt>
                <c:pt idx="1">
                  <c:v>26-35</c:v>
                </c:pt>
              </c:strCache>
            </c:strRef>
          </c:cat>
          <c:val>
            <c:numRef>
              <c:f>'PIVOT TABLE'!$D$54:$D$55</c:f>
              <c:numCache>
                <c:formatCode>General</c:formatCode>
                <c:ptCount val="2"/>
                <c:pt idx="1">
                  <c:v>87566.599999999948</c:v>
                </c:pt>
              </c:numCache>
            </c:numRef>
          </c:val>
          <c:extLst>
            <c:ext xmlns:c16="http://schemas.microsoft.com/office/drawing/2014/chart" uri="{C3380CC4-5D6E-409C-BE32-E72D297353CC}">
              <c16:uniqueId val="{00000002-0CC8-43F1-9447-1F00D5274596}"/>
            </c:ext>
          </c:extLst>
        </c:ser>
        <c:dLbls>
          <c:showLegendKey val="0"/>
          <c:showVal val="0"/>
          <c:showCatName val="0"/>
          <c:showSerName val="0"/>
          <c:showPercent val="0"/>
          <c:showBubbleSize val="0"/>
        </c:dLbls>
        <c:gapWidth val="150"/>
        <c:overlap val="100"/>
        <c:axId val="1069355055"/>
        <c:axId val="1075776959"/>
      </c:barChart>
      <c:catAx>
        <c:axId val="106935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5776959"/>
        <c:crosses val="autoZero"/>
        <c:auto val="1"/>
        <c:lblAlgn val="ctr"/>
        <c:lblOffset val="100"/>
        <c:noMultiLvlLbl val="0"/>
      </c:catAx>
      <c:valAx>
        <c:axId val="107577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935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53028344319918"/>
          <c:y val="0.15348659672388598"/>
          <c:w val="0.69732896767301067"/>
          <c:h val="0.7873736558553448"/>
        </c:manualLayout>
      </c:layout>
      <c:barChart>
        <c:barDir val="bar"/>
        <c:grouping val="clustered"/>
        <c:varyColors val="0"/>
        <c:ser>
          <c:idx val="0"/>
          <c:order val="0"/>
          <c:tx>
            <c:strRef>
              <c:f>'PIVOT TABLE'!$B$74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TABLE'!$A$75:$A$80</c:f>
              <c:strCache>
                <c:ptCount val="6"/>
                <c:pt idx="0">
                  <c:v>Houston</c:v>
                </c:pt>
                <c:pt idx="1">
                  <c:v>Chicago</c:v>
                </c:pt>
                <c:pt idx="2">
                  <c:v>Miami</c:v>
                </c:pt>
                <c:pt idx="3">
                  <c:v>Los Angeles</c:v>
                </c:pt>
                <c:pt idx="4">
                  <c:v>New York</c:v>
                </c:pt>
                <c:pt idx="5">
                  <c:v>San Francisco</c:v>
                </c:pt>
              </c:strCache>
            </c:strRef>
          </c:cat>
          <c:val>
            <c:numRef>
              <c:f>'PIVOT TABLE'!$B$75:$B$80</c:f>
              <c:numCache>
                <c:formatCode>_-[$$-409]* #,##0_ ;_-[$$-409]* \-#,##0\ ;_-[$$-409]* "-"??_ ;_-@_ </c:formatCode>
                <c:ptCount val="6"/>
                <c:pt idx="0">
                  <c:v>25919.899999999987</c:v>
                </c:pt>
                <c:pt idx="1">
                  <c:v>28993.200000000001</c:v>
                </c:pt>
                <c:pt idx="2">
                  <c:v>40042.60000000002</c:v>
                </c:pt>
                <c:pt idx="3">
                  <c:v>47524</c:v>
                </c:pt>
                <c:pt idx="4">
                  <c:v>68737.10000000002</c:v>
                </c:pt>
                <c:pt idx="5">
                  <c:v>84666.800000000017</c:v>
                </c:pt>
              </c:numCache>
            </c:numRef>
          </c:val>
          <c:extLst>
            <c:ext xmlns:c16="http://schemas.microsoft.com/office/drawing/2014/chart" uri="{C3380CC4-5D6E-409C-BE32-E72D297353CC}">
              <c16:uniqueId val="{00000000-5F58-4CBD-9EE5-40498FD79E1E}"/>
            </c:ext>
          </c:extLst>
        </c:ser>
        <c:dLbls>
          <c:dLblPos val="outEnd"/>
          <c:showLegendKey val="0"/>
          <c:showVal val="1"/>
          <c:showCatName val="0"/>
          <c:showSerName val="0"/>
          <c:showPercent val="0"/>
          <c:showBubbleSize val="0"/>
        </c:dLbls>
        <c:gapWidth val="22"/>
        <c:axId val="1064850879"/>
        <c:axId val="1065284447"/>
      </c:barChart>
      <c:catAx>
        <c:axId val="106485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5284447"/>
        <c:crosses val="autoZero"/>
        <c:auto val="1"/>
        <c:lblAlgn val="ctr"/>
        <c:lblOffset val="100"/>
        <c:noMultiLvlLbl val="0"/>
      </c:catAx>
      <c:valAx>
        <c:axId val="1065284447"/>
        <c:scaling>
          <c:orientation val="minMax"/>
        </c:scaling>
        <c:delete val="1"/>
        <c:axPos val="b"/>
        <c:numFmt formatCode="_-[$$-409]* #,##0_ ;_-[$$-409]* \-#,##0\ ;_-[$$-409]* &quot;-&quot;??_ ;_-@_ " sourceLinked="1"/>
        <c:majorTickMark val="none"/>
        <c:minorTickMark val="none"/>
        <c:tickLblPos val="nextTo"/>
        <c:crossAx val="106485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TABLE!PivotTable9</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TABLE'!$B$98:$B$99</c:f>
              <c:strCache>
                <c:ptCount val="1"/>
                <c:pt idx="0">
                  <c:v>Bronze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TABLE'!$A$100:$A$105</c:f>
              <c:strCache>
                <c:ptCount val="6"/>
                <c:pt idx="0">
                  <c:v>Chicago</c:v>
                </c:pt>
                <c:pt idx="1">
                  <c:v>Houston</c:v>
                </c:pt>
                <c:pt idx="2">
                  <c:v>Los Angeles</c:v>
                </c:pt>
                <c:pt idx="3">
                  <c:v>Miami</c:v>
                </c:pt>
                <c:pt idx="4">
                  <c:v>New York</c:v>
                </c:pt>
                <c:pt idx="5">
                  <c:v>San Francisco</c:v>
                </c:pt>
              </c:strCache>
            </c:strRef>
          </c:cat>
          <c:val>
            <c:numRef>
              <c:f>'PIVOT TABLE'!$B$100:$B$105</c:f>
              <c:numCache>
                <c:formatCode>_-[$$-409]* #,##0_ ;_-[$$-409]* \-#,##0\ ;_-[$$-409]* "-"??_ ;_-@_ </c:formatCode>
                <c:ptCount val="6"/>
                <c:pt idx="0">
                  <c:v>28993.200000000001</c:v>
                </c:pt>
                <c:pt idx="1">
                  <c:v>25919.899999999987</c:v>
                </c:pt>
              </c:numCache>
            </c:numRef>
          </c:val>
          <c:extLst>
            <c:ext xmlns:c16="http://schemas.microsoft.com/office/drawing/2014/chart" uri="{C3380CC4-5D6E-409C-BE32-E72D297353CC}">
              <c16:uniqueId val="{00000000-43FC-4BED-A1DF-792F192134E1}"/>
            </c:ext>
          </c:extLst>
        </c:ser>
        <c:ser>
          <c:idx val="1"/>
          <c:order val="1"/>
          <c:tx>
            <c:strRef>
              <c:f>'PIVOT TABLE'!$C$98:$C$99</c:f>
              <c:strCache>
                <c:ptCount val="1"/>
                <c:pt idx="0">
                  <c:v>Gold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TABLE'!$A$100:$A$105</c:f>
              <c:strCache>
                <c:ptCount val="6"/>
                <c:pt idx="0">
                  <c:v>Chicago</c:v>
                </c:pt>
                <c:pt idx="1">
                  <c:v>Houston</c:v>
                </c:pt>
                <c:pt idx="2">
                  <c:v>Los Angeles</c:v>
                </c:pt>
                <c:pt idx="3">
                  <c:v>Miami</c:v>
                </c:pt>
                <c:pt idx="4">
                  <c:v>New York</c:v>
                </c:pt>
                <c:pt idx="5">
                  <c:v>San Francisco</c:v>
                </c:pt>
              </c:strCache>
            </c:strRef>
          </c:cat>
          <c:val>
            <c:numRef>
              <c:f>'PIVOT TABLE'!$C$100:$C$105</c:f>
              <c:numCache>
                <c:formatCode>_-[$$-409]* #,##0_ ;_-[$$-409]* \-#,##0\ ;_-[$$-409]* "-"??_ ;_-@_ </c:formatCode>
                <c:ptCount val="6"/>
                <c:pt idx="4">
                  <c:v>68737.10000000002</c:v>
                </c:pt>
                <c:pt idx="5">
                  <c:v>84666.800000000017</c:v>
                </c:pt>
              </c:numCache>
            </c:numRef>
          </c:val>
          <c:extLst>
            <c:ext xmlns:c16="http://schemas.microsoft.com/office/drawing/2014/chart" uri="{C3380CC4-5D6E-409C-BE32-E72D297353CC}">
              <c16:uniqueId val="{00000001-43FC-4BED-A1DF-792F192134E1}"/>
            </c:ext>
          </c:extLst>
        </c:ser>
        <c:ser>
          <c:idx val="2"/>
          <c:order val="2"/>
          <c:tx>
            <c:strRef>
              <c:f>'PIVOT TABLE'!$D$98:$D$99</c:f>
              <c:strCache>
                <c:ptCount val="1"/>
                <c:pt idx="0">
                  <c:v>Silver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TABLE'!$A$100:$A$105</c:f>
              <c:strCache>
                <c:ptCount val="6"/>
                <c:pt idx="0">
                  <c:v>Chicago</c:v>
                </c:pt>
                <c:pt idx="1">
                  <c:v>Houston</c:v>
                </c:pt>
                <c:pt idx="2">
                  <c:v>Los Angeles</c:v>
                </c:pt>
                <c:pt idx="3">
                  <c:v>Miami</c:v>
                </c:pt>
                <c:pt idx="4">
                  <c:v>New York</c:v>
                </c:pt>
                <c:pt idx="5">
                  <c:v>San Francisco</c:v>
                </c:pt>
              </c:strCache>
            </c:strRef>
          </c:cat>
          <c:val>
            <c:numRef>
              <c:f>'PIVOT TABLE'!$D$100:$D$105</c:f>
              <c:numCache>
                <c:formatCode>_-[$$-409]* #,##0_ ;_-[$$-409]* \-#,##0\ ;_-[$$-409]* "-"??_ ;_-@_ </c:formatCode>
                <c:ptCount val="6"/>
                <c:pt idx="2">
                  <c:v>47524</c:v>
                </c:pt>
                <c:pt idx="3">
                  <c:v>40042.60000000002</c:v>
                </c:pt>
              </c:numCache>
            </c:numRef>
          </c:val>
          <c:extLst>
            <c:ext xmlns:c16="http://schemas.microsoft.com/office/drawing/2014/chart" uri="{C3380CC4-5D6E-409C-BE32-E72D297353CC}">
              <c16:uniqueId val="{00000002-43FC-4BED-A1DF-792F192134E1}"/>
            </c:ext>
          </c:extLst>
        </c:ser>
        <c:dLbls>
          <c:dLblPos val="ctr"/>
          <c:showLegendKey val="0"/>
          <c:showVal val="1"/>
          <c:showCatName val="0"/>
          <c:showSerName val="0"/>
          <c:showPercent val="0"/>
          <c:showBubbleSize val="0"/>
        </c:dLbls>
        <c:gapWidth val="150"/>
        <c:overlap val="100"/>
        <c:axId val="1127942655"/>
        <c:axId val="1169015567"/>
      </c:barChart>
      <c:catAx>
        <c:axId val="112794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9015567"/>
        <c:crosses val="autoZero"/>
        <c:auto val="1"/>
        <c:lblAlgn val="ctr"/>
        <c:lblOffset val="100"/>
        <c:noMultiLvlLbl val="0"/>
      </c:catAx>
      <c:valAx>
        <c:axId val="1169015567"/>
        <c:scaling>
          <c:orientation val="minMax"/>
        </c:scaling>
        <c:delete val="1"/>
        <c:axPos val="b"/>
        <c:numFmt formatCode="_-[$$-409]* #,##0_ ;_-[$$-409]* \-#,##0\ ;_-[$$-409]* &quot;-&quot;??_ ;_-@_ " sourceLinked="1"/>
        <c:majorTickMark val="none"/>
        <c:minorTickMark val="none"/>
        <c:tickLblPos val="nextTo"/>
        <c:crossAx val="112794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TABLE!PivotTable10</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6286868747206"/>
          <c:y val="5.6176178678849317E-2"/>
          <c:w val="0.79251115485564294"/>
          <c:h val="0.88888888888888884"/>
        </c:manualLayout>
      </c:layout>
      <c:barChart>
        <c:barDir val="bar"/>
        <c:grouping val="stacked"/>
        <c:varyColors val="0"/>
        <c:ser>
          <c:idx val="0"/>
          <c:order val="0"/>
          <c:tx>
            <c:strRef>
              <c:f>'PIVOT TABLE'!$B$121:$B$122</c:f>
              <c:strCache>
                <c:ptCount val="1"/>
                <c:pt idx="0">
                  <c:v>36-45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TABLE'!$A$123:$A$128</c:f>
              <c:strCache>
                <c:ptCount val="6"/>
                <c:pt idx="0">
                  <c:v>Chicago</c:v>
                </c:pt>
                <c:pt idx="1">
                  <c:v>Houston</c:v>
                </c:pt>
                <c:pt idx="2">
                  <c:v>Los Angeles</c:v>
                </c:pt>
                <c:pt idx="3">
                  <c:v>Miami</c:v>
                </c:pt>
                <c:pt idx="4">
                  <c:v>New York</c:v>
                </c:pt>
                <c:pt idx="5">
                  <c:v>San Francisco</c:v>
                </c:pt>
              </c:strCache>
            </c:strRef>
          </c:cat>
          <c:val>
            <c:numRef>
              <c:f>'PIVOT TABLE'!$B$123:$B$128</c:f>
              <c:numCache>
                <c:formatCode>_-[$$-409]* #,##0_ ;_-[$$-409]* \-#,##0\ ;_-[$$-409]* "-"??_ ;_-@_ </c:formatCode>
                <c:ptCount val="6"/>
                <c:pt idx="0">
                  <c:v>28993.200000000001</c:v>
                </c:pt>
                <c:pt idx="1">
                  <c:v>25469.299999999988</c:v>
                </c:pt>
                <c:pt idx="5">
                  <c:v>1420.8</c:v>
                </c:pt>
              </c:numCache>
            </c:numRef>
          </c:val>
          <c:extLst>
            <c:ext xmlns:c16="http://schemas.microsoft.com/office/drawing/2014/chart" uri="{C3380CC4-5D6E-409C-BE32-E72D297353CC}">
              <c16:uniqueId val="{00000000-BA69-4445-8816-D1BAD625707D}"/>
            </c:ext>
          </c:extLst>
        </c:ser>
        <c:ser>
          <c:idx val="1"/>
          <c:order val="1"/>
          <c:tx>
            <c:strRef>
              <c:f>'PIVOT TABLE'!$C$121:$C$122</c:f>
              <c:strCache>
                <c:ptCount val="1"/>
                <c:pt idx="0">
                  <c:v>26-35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TABLE'!$A$123:$A$128</c:f>
              <c:strCache>
                <c:ptCount val="6"/>
                <c:pt idx="0">
                  <c:v>Chicago</c:v>
                </c:pt>
                <c:pt idx="1">
                  <c:v>Houston</c:v>
                </c:pt>
                <c:pt idx="2">
                  <c:v>Los Angeles</c:v>
                </c:pt>
                <c:pt idx="3">
                  <c:v>Miami</c:v>
                </c:pt>
                <c:pt idx="4">
                  <c:v>New York</c:v>
                </c:pt>
                <c:pt idx="5">
                  <c:v>San Francisco</c:v>
                </c:pt>
              </c:strCache>
            </c:strRef>
          </c:cat>
          <c:val>
            <c:numRef>
              <c:f>'PIVOT TABLE'!$C$123:$C$128</c:f>
              <c:numCache>
                <c:formatCode>_-[$$-409]* #,##0_ ;_-[$$-409]* \-#,##0\ ;_-[$$-409]* "-"??_ ;_-@_ </c:formatCode>
                <c:ptCount val="6"/>
                <c:pt idx="1">
                  <c:v>450.6</c:v>
                </c:pt>
                <c:pt idx="2">
                  <c:v>47524</c:v>
                </c:pt>
                <c:pt idx="3">
                  <c:v>40042.60000000002</c:v>
                </c:pt>
                <c:pt idx="4">
                  <c:v>68737.10000000002</c:v>
                </c:pt>
                <c:pt idx="5">
                  <c:v>83246.000000000015</c:v>
                </c:pt>
              </c:numCache>
            </c:numRef>
          </c:val>
          <c:extLst>
            <c:ext xmlns:c16="http://schemas.microsoft.com/office/drawing/2014/chart" uri="{C3380CC4-5D6E-409C-BE32-E72D297353CC}">
              <c16:uniqueId val="{00000001-BA69-4445-8816-D1BAD625707D}"/>
            </c:ext>
          </c:extLst>
        </c:ser>
        <c:dLbls>
          <c:dLblPos val="ctr"/>
          <c:showLegendKey val="0"/>
          <c:showVal val="1"/>
          <c:showCatName val="0"/>
          <c:showSerName val="0"/>
          <c:showPercent val="0"/>
          <c:showBubbleSize val="0"/>
        </c:dLbls>
        <c:gapWidth val="40"/>
        <c:overlap val="100"/>
        <c:axId val="1172928975"/>
        <c:axId val="1124618703"/>
      </c:barChart>
      <c:catAx>
        <c:axId val="117292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24618703"/>
        <c:crosses val="autoZero"/>
        <c:auto val="1"/>
        <c:lblAlgn val="ctr"/>
        <c:lblOffset val="100"/>
        <c:noMultiLvlLbl val="0"/>
      </c:catAx>
      <c:valAx>
        <c:axId val="1124618703"/>
        <c:scaling>
          <c:orientation val="minMax"/>
        </c:scaling>
        <c:delete val="1"/>
        <c:axPos val="b"/>
        <c:numFmt formatCode="_-[$$-409]* #,##0_ ;_-[$$-409]* \-#,##0\ ;_-[$$-409]* &quot;-&quot;??_ ;_-@_ " sourceLinked="1"/>
        <c:majorTickMark val="none"/>
        <c:minorTickMark val="none"/>
        <c:tickLblPos val="nextTo"/>
        <c:crossAx val="117292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TABLE!PivotTable11</c:name>
    <c:fmtId val="3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stacked"/>
        <c:varyColors val="0"/>
        <c:ser>
          <c:idx val="0"/>
          <c:order val="0"/>
          <c:tx>
            <c:strRef>
              <c:f>'PIVOT TABLE'!$B$150:$B$151</c:f>
              <c:strCache>
                <c:ptCount val="1"/>
                <c:pt idx="0">
                  <c:v>36-45</c:v>
                </c:pt>
              </c:strCache>
            </c:strRef>
          </c:tx>
          <c:spPr>
            <a:solidFill>
              <a:schemeClr val="accent1"/>
            </a:solidFill>
            <a:ln>
              <a:noFill/>
            </a:ln>
            <a:effectLst/>
          </c:spPr>
          <c:invertIfNegative val="0"/>
          <c:cat>
            <c:strRef>
              <c:f>'PIVOT TABLE'!$A$152:$A$158</c:f>
              <c:strCache>
                <c:ptCount val="6"/>
                <c:pt idx="0">
                  <c:v>New York</c:v>
                </c:pt>
                <c:pt idx="1">
                  <c:v>Los Angeles</c:v>
                </c:pt>
                <c:pt idx="2">
                  <c:v>San Francisco</c:v>
                </c:pt>
                <c:pt idx="3">
                  <c:v>Houston</c:v>
                </c:pt>
                <c:pt idx="4">
                  <c:v>Chicago</c:v>
                </c:pt>
                <c:pt idx="5">
                  <c:v>Miami</c:v>
                </c:pt>
              </c:strCache>
            </c:strRef>
          </c:cat>
          <c:val>
            <c:numRef>
              <c:f>'PIVOT TABLE'!$B$152:$B$158</c:f>
              <c:numCache>
                <c:formatCode>0.00</c:formatCode>
                <c:ptCount val="6"/>
                <c:pt idx="2">
                  <c:v>1</c:v>
                </c:pt>
                <c:pt idx="3">
                  <c:v>57</c:v>
                </c:pt>
                <c:pt idx="4">
                  <c:v>58</c:v>
                </c:pt>
              </c:numCache>
            </c:numRef>
          </c:val>
          <c:extLst>
            <c:ext xmlns:c16="http://schemas.microsoft.com/office/drawing/2014/chart" uri="{C3380CC4-5D6E-409C-BE32-E72D297353CC}">
              <c16:uniqueId val="{00000000-0353-4A6A-BFDE-C254194D93F1}"/>
            </c:ext>
          </c:extLst>
        </c:ser>
        <c:ser>
          <c:idx val="1"/>
          <c:order val="1"/>
          <c:tx>
            <c:strRef>
              <c:f>'PIVOT TABLE'!$C$150:$C$151</c:f>
              <c:strCache>
                <c:ptCount val="1"/>
                <c:pt idx="0">
                  <c:v>26-35</c:v>
                </c:pt>
              </c:strCache>
            </c:strRef>
          </c:tx>
          <c:spPr>
            <a:solidFill>
              <a:schemeClr val="accent2"/>
            </a:solidFill>
            <a:ln>
              <a:noFill/>
            </a:ln>
            <a:effectLst/>
          </c:spPr>
          <c:invertIfNegative val="0"/>
          <c:cat>
            <c:strRef>
              <c:f>'PIVOT TABLE'!$A$152:$A$158</c:f>
              <c:strCache>
                <c:ptCount val="6"/>
                <c:pt idx="0">
                  <c:v>New York</c:v>
                </c:pt>
                <c:pt idx="1">
                  <c:v>Los Angeles</c:v>
                </c:pt>
                <c:pt idx="2">
                  <c:v>San Francisco</c:v>
                </c:pt>
                <c:pt idx="3">
                  <c:v>Houston</c:v>
                </c:pt>
                <c:pt idx="4">
                  <c:v>Chicago</c:v>
                </c:pt>
                <c:pt idx="5">
                  <c:v>Miami</c:v>
                </c:pt>
              </c:strCache>
            </c:strRef>
          </c:cat>
          <c:val>
            <c:numRef>
              <c:f>'PIVOT TABLE'!$C$152:$C$158</c:f>
              <c:numCache>
                <c:formatCode>0.00</c:formatCode>
                <c:ptCount val="6"/>
                <c:pt idx="0">
                  <c:v>59</c:v>
                </c:pt>
                <c:pt idx="1">
                  <c:v>59</c:v>
                </c:pt>
                <c:pt idx="2">
                  <c:v>57</c:v>
                </c:pt>
                <c:pt idx="3">
                  <c:v>1</c:v>
                </c:pt>
                <c:pt idx="5">
                  <c:v>58</c:v>
                </c:pt>
              </c:numCache>
            </c:numRef>
          </c:val>
          <c:extLst>
            <c:ext xmlns:c16="http://schemas.microsoft.com/office/drawing/2014/chart" uri="{C3380CC4-5D6E-409C-BE32-E72D297353CC}">
              <c16:uniqueId val="{00000001-0353-4A6A-BFDE-C254194D93F1}"/>
            </c:ext>
          </c:extLst>
        </c:ser>
        <c:dLbls>
          <c:showLegendKey val="0"/>
          <c:showVal val="0"/>
          <c:showCatName val="0"/>
          <c:showSerName val="0"/>
          <c:showPercent val="0"/>
          <c:showBubbleSize val="0"/>
        </c:dLbls>
        <c:gapWidth val="52"/>
        <c:overlap val="100"/>
        <c:axId val="644451087"/>
        <c:axId val="1075112095"/>
      </c:barChart>
      <c:catAx>
        <c:axId val="64445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5112095"/>
        <c:crosses val="autoZero"/>
        <c:auto val="1"/>
        <c:lblAlgn val="ctr"/>
        <c:lblOffset val="100"/>
        <c:noMultiLvlLbl val="0"/>
      </c:catAx>
      <c:valAx>
        <c:axId val="107511209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4445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TABLE!PivotTable2</c:name>
    <c:fmtId val="4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TABLE'!$Y$27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TABLE'!$X$28:$X$30</c:f>
              <c:strCache>
                <c:ptCount val="2"/>
                <c:pt idx="0">
                  <c:v>Female</c:v>
                </c:pt>
                <c:pt idx="1">
                  <c:v>Male</c:v>
                </c:pt>
              </c:strCache>
            </c:strRef>
          </c:cat>
          <c:val>
            <c:numRef>
              <c:f>'PIVOT TABLE'!$Y$28:$Y$30</c:f>
              <c:numCache>
                <c:formatCode>0.00</c:formatCode>
                <c:ptCount val="2"/>
                <c:pt idx="0">
                  <c:v>175</c:v>
                </c:pt>
                <c:pt idx="1">
                  <c:v>175</c:v>
                </c:pt>
              </c:numCache>
            </c:numRef>
          </c:val>
          <c:extLst>
            <c:ext xmlns:c16="http://schemas.microsoft.com/office/drawing/2014/chart" uri="{C3380CC4-5D6E-409C-BE32-E72D297353CC}">
              <c16:uniqueId val="{00000000-C3CD-4CC9-9F8B-4060E389138F}"/>
            </c:ext>
          </c:extLst>
        </c:ser>
        <c:dLbls>
          <c:dLblPos val="outEnd"/>
          <c:showLegendKey val="0"/>
          <c:showVal val="1"/>
          <c:showCatName val="0"/>
          <c:showSerName val="0"/>
          <c:showPercent val="0"/>
          <c:showBubbleSize val="0"/>
        </c:dLbls>
        <c:gapWidth val="150"/>
        <c:axId val="972624416"/>
        <c:axId val="874380848"/>
      </c:barChart>
      <c:catAx>
        <c:axId val="97262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4380848"/>
        <c:crosses val="autoZero"/>
        <c:auto val="1"/>
        <c:lblAlgn val="ctr"/>
        <c:lblOffset val="100"/>
        <c:noMultiLvlLbl val="0"/>
      </c:catAx>
      <c:valAx>
        <c:axId val="8743808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262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TABLE!PivotTable5</c:name>
    <c:fmtId val="5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TABLE'!$Y$46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TABLE'!$X$47:$X$49</c:f>
              <c:strCache>
                <c:ptCount val="2"/>
                <c:pt idx="0">
                  <c:v>Male</c:v>
                </c:pt>
                <c:pt idx="1">
                  <c:v>Female</c:v>
                </c:pt>
              </c:strCache>
            </c:strRef>
          </c:cat>
          <c:val>
            <c:numRef>
              <c:f>'PIVOT TABLE'!$Y$47:$Y$49</c:f>
              <c:numCache>
                <c:formatCode>General</c:formatCode>
                <c:ptCount val="2"/>
                <c:pt idx="0">
                  <c:v>172713.59999999995</c:v>
                </c:pt>
                <c:pt idx="1">
                  <c:v>123170.00000000015</c:v>
                </c:pt>
              </c:numCache>
            </c:numRef>
          </c:val>
          <c:extLst>
            <c:ext xmlns:c16="http://schemas.microsoft.com/office/drawing/2014/chart" uri="{C3380CC4-5D6E-409C-BE32-E72D297353CC}">
              <c16:uniqueId val="{00000000-6ADC-499C-A4DF-636FBC143F68}"/>
            </c:ext>
          </c:extLst>
        </c:ser>
        <c:dLbls>
          <c:dLblPos val="outEnd"/>
          <c:showLegendKey val="0"/>
          <c:showVal val="1"/>
          <c:showCatName val="0"/>
          <c:showSerName val="0"/>
          <c:showPercent val="0"/>
          <c:showBubbleSize val="0"/>
        </c:dLbls>
        <c:gapWidth val="219"/>
        <c:overlap val="-27"/>
        <c:axId val="972639216"/>
        <c:axId val="872442064"/>
      </c:barChart>
      <c:catAx>
        <c:axId val="97263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2442064"/>
        <c:crosses val="autoZero"/>
        <c:auto val="1"/>
        <c:lblAlgn val="ctr"/>
        <c:lblOffset val="100"/>
        <c:noMultiLvlLbl val="0"/>
      </c:catAx>
      <c:valAx>
        <c:axId val="87244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263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TABLE!PivotTable5</c:name>
    <c:fmtId val="5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TABLE'!$Y$46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F4-446C-9E11-C1C3C28CC6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F4-446C-9E11-C1C3C28CC6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TABLE'!$X$47:$X$49</c:f>
              <c:strCache>
                <c:ptCount val="2"/>
                <c:pt idx="0">
                  <c:v>Male</c:v>
                </c:pt>
                <c:pt idx="1">
                  <c:v>Female</c:v>
                </c:pt>
              </c:strCache>
            </c:strRef>
          </c:cat>
          <c:val>
            <c:numRef>
              <c:f>'PIVOT TABLE'!$Y$47:$Y$49</c:f>
              <c:numCache>
                <c:formatCode>General</c:formatCode>
                <c:ptCount val="2"/>
                <c:pt idx="0">
                  <c:v>172713.59999999995</c:v>
                </c:pt>
                <c:pt idx="1">
                  <c:v>123170.00000000015</c:v>
                </c:pt>
              </c:numCache>
            </c:numRef>
          </c:val>
          <c:extLst>
            <c:ext xmlns:c16="http://schemas.microsoft.com/office/drawing/2014/chart" uri="{C3380CC4-5D6E-409C-BE32-E72D297353CC}">
              <c16:uniqueId val="{00000000-F71E-4CCF-9F0D-952AEB3EAA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TABLE!PivotTable12</c:name>
    <c:fmtId val="6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TABLE'!$Y$84:$Y$85</c:f>
              <c:strCache>
                <c:ptCount val="1"/>
                <c:pt idx="0">
                  <c:v>36-45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TABLE'!$X$86:$X$88</c:f>
              <c:strCache>
                <c:ptCount val="2"/>
                <c:pt idx="0">
                  <c:v>Male</c:v>
                </c:pt>
                <c:pt idx="1">
                  <c:v>Female</c:v>
                </c:pt>
              </c:strCache>
            </c:strRef>
          </c:cat>
          <c:val>
            <c:numRef>
              <c:f>'PIVOT TABLE'!$Y$86:$Y$88</c:f>
              <c:numCache>
                <c:formatCode>0.00%</c:formatCode>
                <c:ptCount val="2"/>
                <c:pt idx="0">
                  <c:v>4.8018883101327682E-3</c:v>
                </c:pt>
                <c:pt idx="1">
                  <c:v>0.18406731566061804</c:v>
                </c:pt>
              </c:numCache>
            </c:numRef>
          </c:val>
          <c:extLst>
            <c:ext xmlns:c16="http://schemas.microsoft.com/office/drawing/2014/chart" uri="{C3380CC4-5D6E-409C-BE32-E72D297353CC}">
              <c16:uniqueId val="{00000000-4CD4-4A57-BA8A-478F5D6E44B5}"/>
            </c:ext>
          </c:extLst>
        </c:ser>
        <c:ser>
          <c:idx val="1"/>
          <c:order val="1"/>
          <c:tx>
            <c:strRef>
              <c:f>'PIVOT TABLE'!$Z$84:$Z$85</c:f>
              <c:strCache>
                <c:ptCount val="1"/>
                <c:pt idx="0">
                  <c:v>26-35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TABLE'!$X$86:$X$88</c:f>
              <c:strCache>
                <c:ptCount val="2"/>
                <c:pt idx="0">
                  <c:v>Male</c:v>
                </c:pt>
                <c:pt idx="1">
                  <c:v>Female</c:v>
                </c:pt>
              </c:strCache>
            </c:strRef>
          </c:cat>
          <c:val>
            <c:numRef>
              <c:f>'PIVOT TABLE'!$Z$86:$Z$88</c:f>
              <c:numCache>
                <c:formatCode>0.00%</c:formatCode>
                <c:ptCount val="2"/>
                <c:pt idx="0">
                  <c:v>0.57891954809256052</c:v>
                </c:pt>
                <c:pt idx="1">
                  <c:v>0.23221124793668868</c:v>
                </c:pt>
              </c:numCache>
            </c:numRef>
          </c:val>
          <c:extLst>
            <c:ext xmlns:c16="http://schemas.microsoft.com/office/drawing/2014/chart" uri="{C3380CC4-5D6E-409C-BE32-E72D297353CC}">
              <c16:uniqueId val="{00000002-4CD4-4A57-BA8A-478F5D6E44B5}"/>
            </c:ext>
          </c:extLst>
        </c:ser>
        <c:dLbls>
          <c:dLblPos val="ctr"/>
          <c:showLegendKey val="0"/>
          <c:showVal val="1"/>
          <c:showCatName val="0"/>
          <c:showSerName val="0"/>
          <c:showPercent val="0"/>
          <c:showBubbleSize val="0"/>
        </c:dLbls>
        <c:gapWidth val="150"/>
        <c:overlap val="100"/>
        <c:axId val="868579632"/>
        <c:axId val="874362128"/>
      </c:barChart>
      <c:catAx>
        <c:axId val="86857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4362128"/>
        <c:crosses val="autoZero"/>
        <c:auto val="1"/>
        <c:lblAlgn val="ctr"/>
        <c:lblOffset val="100"/>
        <c:noMultiLvlLbl val="0"/>
      </c:catAx>
      <c:valAx>
        <c:axId val="8743621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5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TABLE!PivotTable13</c:name>
    <c:fmtId val="6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'PIVOT TABLE'!$Y$108:$Y$109</c:f>
              <c:strCache>
                <c:ptCount val="1"/>
                <c:pt idx="0">
                  <c:v>Female</c:v>
                </c:pt>
              </c:strCache>
            </c:strRef>
          </c:tx>
          <c:spPr>
            <a:solidFill>
              <a:schemeClr val="accent1"/>
            </a:solidFill>
            <a:ln>
              <a:noFill/>
            </a:ln>
            <a:effectLst/>
          </c:spPr>
          <c:invertIfNegative val="0"/>
          <c:cat>
            <c:strRef>
              <c:f>'PIVOT TABLE'!$X$110:$X$112</c:f>
              <c:strCache>
                <c:ptCount val="3"/>
                <c:pt idx="0">
                  <c:v>Chicago</c:v>
                </c:pt>
                <c:pt idx="1">
                  <c:v>Houston</c:v>
                </c:pt>
                <c:pt idx="2">
                  <c:v>San Francisco</c:v>
                </c:pt>
              </c:strCache>
            </c:strRef>
          </c:cat>
          <c:val>
            <c:numRef>
              <c:f>'PIVOT TABLE'!$Y$110:$Y$112</c:f>
              <c:numCache>
                <c:formatCode>General</c:formatCode>
                <c:ptCount val="3"/>
                <c:pt idx="0">
                  <c:v>28993.200000000004</c:v>
                </c:pt>
                <c:pt idx="1">
                  <c:v>25469.299999999992</c:v>
                </c:pt>
              </c:numCache>
            </c:numRef>
          </c:val>
          <c:extLst>
            <c:ext xmlns:c16="http://schemas.microsoft.com/office/drawing/2014/chart" uri="{C3380CC4-5D6E-409C-BE32-E72D297353CC}">
              <c16:uniqueId val="{00000000-2A95-4399-988E-255E18FD6ED1}"/>
            </c:ext>
          </c:extLst>
        </c:ser>
        <c:ser>
          <c:idx val="1"/>
          <c:order val="1"/>
          <c:tx>
            <c:strRef>
              <c:f>'PIVOT TABLE'!$Z$108:$Z$109</c:f>
              <c:strCache>
                <c:ptCount val="1"/>
                <c:pt idx="0">
                  <c:v>Male</c:v>
                </c:pt>
              </c:strCache>
            </c:strRef>
          </c:tx>
          <c:spPr>
            <a:solidFill>
              <a:schemeClr val="accent2"/>
            </a:solidFill>
            <a:ln>
              <a:noFill/>
            </a:ln>
            <a:effectLst/>
          </c:spPr>
          <c:invertIfNegative val="0"/>
          <c:cat>
            <c:strRef>
              <c:f>'PIVOT TABLE'!$X$110:$X$112</c:f>
              <c:strCache>
                <c:ptCount val="3"/>
                <c:pt idx="0">
                  <c:v>Chicago</c:v>
                </c:pt>
                <c:pt idx="1">
                  <c:v>Houston</c:v>
                </c:pt>
                <c:pt idx="2">
                  <c:v>San Francisco</c:v>
                </c:pt>
              </c:strCache>
            </c:strRef>
          </c:cat>
          <c:val>
            <c:numRef>
              <c:f>'PIVOT TABLE'!$Z$110:$Z$112</c:f>
              <c:numCache>
                <c:formatCode>General</c:formatCode>
                <c:ptCount val="3"/>
                <c:pt idx="2">
                  <c:v>1420.8</c:v>
                </c:pt>
              </c:numCache>
            </c:numRef>
          </c:val>
          <c:extLst>
            <c:ext xmlns:c16="http://schemas.microsoft.com/office/drawing/2014/chart" uri="{C3380CC4-5D6E-409C-BE32-E72D297353CC}">
              <c16:uniqueId val="{00000001-2A95-4399-988E-255E18FD6ED1}"/>
            </c:ext>
          </c:extLst>
        </c:ser>
        <c:dLbls>
          <c:showLegendKey val="0"/>
          <c:showVal val="0"/>
          <c:showCatName val="0"/>
          <c:showSerName val="0"/>
          <c:showPercent val="0"/>
          <c:showBubbleSize val="0"/>
        </c:dLbls>
        <c:gapWidth val="150"/>
        <c:overlap val="100"/>
        <c:axId val="872024160"/>
        <c:axId val="874360880"/>
      </c:barChart>
      <c:catAx>
        <c:axId val="87202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4360880"/>
        <c:crosses val="autoZero"/>
        <c:auto val="1"/>
        <c:lblAlgn val="ctr"/>
        <c:lblOffset val="100"/>
        <c:noMultiLvlLbl val="0"/>
      </c:catAx>
      <c:valAx>
        <c:axId val="87436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202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TABLE'!$H$4:$H$5</c:f>
              <c:strCache>
                <c:ptCount val="2"/>
                <c:pt idx="0">
                  <c:v>FALSE</c:v>
                </c:pt>
                <c:pt idx="1">
                  <c:v>TRUE</c:v>
                </c:pt>
              </c:strCache>
            </c:strRef>
          </c:cat>
          <c:val>
            <c:numRef>
              <c:f>'PIVOT TABLE'!$I$4:$I$5</c:f>
              <c:numCache>
                <c:formatCode>0.00%</c:formatCode>
                <c:ptCount val="2"/>
                <c:pt idx="0">
                  <c:v>0.53436790683904056</c:v>
                </c:pt>
                <c:pt idx="1">
                  <c:v>0.46563209316095944</c:v>
                </c:pt>
              </c:numCache>
            </c:numRef>
          </c:val>
          <c:extLst>
            <c:ext xmlns:c16="http://schemas.microsoft.com/office/drawing/2014/chart" uri="{C3380CC4-5D6E-409C-BE32-E72D297353CC}">
              <c16:uniqueId val="{00000000-06FC-4787-803F-F97370773BD7}"/>
            </c:ext>
          </c:extLst>
        </c:ser>
        <c:dLbls>
          <c:showLegendKey val="0"/>
          <c:showVal val="0"/>
          <c:showCatName val="0"/>
          <c:showSerName val="0"/>
          <c:showPercent val="0"/>
          <c:showBubbleSize val="0"/>
        </c:dLbls>
        <c:gapWidth val="219"/>
        <c:overlap val="-27"/>
        <c:axId val="868591232"/>
        <c:axId val="982399968"/>
      </c:barChart>
      <c:catAx>
        <c:axId val="86859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2399968"/>
        <c:crosses val="autoZero"/>
        <c:auto val="1"/>
        <c:lblAlgn val="ctr"/>
        <c:lblOffset val="100"/>
        <c:noMultiLvlLbl val="0"/>
      </c:catAx>
      <c:valAx>
        <c:axId val="982399968"/>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59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TABLE!PivotTable15</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'PIVOT TABLE'!$J$25:$J$26</c:f>
              <c:strCache>
                <c:ptCount val="1"/>
                <c:pt idx="0">
                  <c:v>FALSE</c:v>
                </c:pt>
              </c:strCache>
            </c:strRef>
          </c:tx>
          <c:spPr>
            <a:solidFill>
              <a:schemeClr val="accent1"/>
            </a:solidFill>
            <a:ln>
              <a:noFill/>
            </a:ln>
            <a:effectLst/>
          </c:spPr>
          <c:invertIfNegative val="0"/>
          <c:cat>
            <c:strRef>
              <c:f>'PIVOT TABLE'!$I$27:$I$32</c:f>
              <c:strCache>
                <c:ptCount val="6"/>
                <c:pt idx="0">
                  <c:v>San Francisco</c:v>
                </c:pt>
                <c:pt idx="1">
                  <c:v>New York</c:v>
                </c:pt>
                <c:pt idx="2">
                  <c:v>Los Angeles</c:v>
                </c:pt>
                <c:pt idx="3">
                  <c:v>Miami</c:v>
                </c:pt>
                <c:pt idx="4">
                  <c:v>Chicago</c:v>
                </c:pt>
                <c:pt idx="5">
                  <c:v>Houston</c:v>
                </c:pt>
              </c:strCache>
            </c:strRef>
          </c:cat>
          <c:val>
            <c:numRef>
              <c:f>'PIVOT TABLE'!$J$27:$J$32</c:f>
              <c:numCache>
                <c:formatCode>General</c:formatCode>
                <c:ptCount val="6"/>
                <c:pt idx="0">
                  <c:v>84666.800000000017</c:v>
                </c:pt>
                <c:pt idx="2">
                  <c:v>47524</c:v>
                </c:pt>
                <c:pt idx="5">
                  <c:v>25919.899999999987</c:v>
                </c:pt>
              </c:numCache>
            </c:numRef>
          </c:val>
          <c:extLst>
            <c:ext xmlns:c16="http://schemas.microsoft.com/office/drawing/2014/chart" uri="{C3380CC4-5D6E-409C-BE32-E72D297353CC}">
              <c16:uniqueId val="{00000000-E714-480D-B79C-B623BC20AEBF}"/>
            </c:ext>
          </c:extLst>
        </c:ser>
        <c:ser>
          <c:idx val="1"/>
          <c:order val="1"/>
          <c:tx>
            <c:strRef>
              <c:f>'PIVOT TABLE'!$K$25:$K$26</c:f>
              <c:strCache>
                <c:ptCount val="1"/>
                <c:pt idx="0">
                  <c:v>TRUE</c:v>
                </c:pt>
              </c:strCache>
            </c:strRef>
          </c:tx>
          <c:spPr>
            <a:solidFill>
              <a:schemeClr val="accent2"/>
            </a:solidFill>
            <a:ln>
              <a:noFill/>
            </a:ln>
            <a:effectLst/>
          </c:spPr>
          <c:invertIfNegative val="0"/>
          <c:cat>
            <c:strRef>
              <c:f>'PIVOT TABLE'!$I$27:$I$32</c:f>
              <c:strCache>
                <c:ptCount val="6"/>
                <c:pt idx="0">
                  <c:v>San Francisco</c:v>
                </c:pt>
                <c:pt idx="1">
                  <c:v>New York</c:v>
                </c:pt>
                <c:pt idx="2">
                  <c:v>Los Angeles</c:v>
                </c:pt>
                <c:pt idx="3">
                  <c:v>Miami</c:v>
                </c:pt>
                <c:pt idx="4">
                  <c:v>Chicago</c:v>
                </c:pt>
                <c:pt idx="5">
                  <c:v>Houston</c:v>
                </c:pt>
              </c:strCache>
            </c:strRef>
          </c:cat>
          <c:val>
            <c:numRef>
              <c:f>'PIVOT TABLE'!$K$27:$K$32</c:f>
              <c:numCache>
                <c:formatCode>General</c:formatCode>
                <c:ptCount val="6"/>
                <c:pt idx="1">
                  <c:v>68737.10000000002</c:v>
                </c:pt>
                <c:pt idx="3">
                  <c:v>40042.60000000002</c:v>
                </c:pt>
                <c:pt idx="4">
                  <c:v>28993.200000000001</c:v>
                </c:pt>
              </c:numCache>
            </c:numRef>
          </c:val>
          <c:extLst>
            <c:ext xmlns:c16="http://schemas.microsoft.com/office/drawing/2014/chart" uri="{C3380CC4-5D6E-409C-BE32-E72D297353CC}">
              <c16:uniqueId val="{00000001-E714-480D-B79C-B623BC20AEBF}"/>
            </c:ext>
          </c:extLst>
        </c:ser>
        <c:dLbls>
          <c:showLegendKey val="0"/>
          <c:showVal val="0"/>
          <c:showCatName val="0"/>
          <c:showSerName val="0"/>
          <c:showPercent val="0"/>
          <c:showBubbleSize val="0"/>
        </c:dLbls>
        <c:gapWidth val="150"/>
        <c:overlap val="100"/>
        <c:axId val="864015168"/>
        <c:axId val="875526368"/>
      </c:barChart>
      <c:catAx>
        <c:axId val="86401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5526368"/>
        <c:crosses val="autoZero"/>
        <c:auto val="1"/>
        <c:lblAlgn val="ctr"/>
        <c:lblOffset val="100"/>
        <c:noMultiLvlLbl val="0"/>
      </c:catAx>
      <c:valAx>
        <c:axId val="87552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40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TABLE'!$J$51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16-416E-9963-F8E86B84FB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616-416E-9963-F8E86B84FBAD}"/>
              </c:ext>
            </c:extLst>
          </c:dPt>
          <c:dLbls>
            <c:dLbl>
              <c:idx val="0"/>
              <c:dLblPos val="out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16-416E-9963-F8E86B84FBAD}"/>
                </c:ext>
              </c:extLst>
            </c:dLbl>
            <c:dLbl>
              <c:idx val="1"/>
              <c:dLblPos val="out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616-416E-9963-F8E86B84FB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TABLE'!$I$52:$I$54</c:f>
              <c:strCache>
                <c:ptCount val="2"/>
                <c:pt idx="0">
                  <c:v>No Risk</c:v>
                </c:pt>
                <c:pt idx="1">
                  <c:v>At Risk</c:v>
                </c:pt>
              </c:strCache>
            </c:strRef>
          </c:cat>
          <c:val>
            <c:numRef>
              <c:f>'PIVOT TABLE'!$J$52:$J$54</c:f>
              <c:numCache>
                <c:formatCode>General</c:formatCode>
                <c:ptCount val="2"/>
                <c:pt idx="0">
                  <c:v>221</c:v>
                </c:pt>
                <c:pt idx="1">
                  <c:v>129</c:v>
                </c:pt>
              </c:numCache>
            </c:numRef>
          </c:val>
          <c:extLst>
            <c:ext xmlns:c16="http://schemas.microsoft.com/office/drawing/2014/chart" uri="{C3380CC4-5D6E-409C-BE32-E72D297353CC}">
              <c16:uniqueId val="{00000000-8616-416E-9963-F8E86B84FB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TABLE!PivotTable17</c:name>
    <c:fmtId val="25"/>
  </c:pivotSource>
  <c:chart>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'PIVOT TABLE'!$J$71:$J$72</c:f>
              <c:strCache>
                <c:ptCount val="1"/>
                <c:pt idx="0">
                  <c:v>No Risk</c:v>
                </c:pt>
              </c:strCache>
            </c:strRef>
          </c:tx>
          <c:spPr>
            <a:solidFill>
              <a:schemeClr val="accent1"/>
            </a:solidFill>
            <a:ln>
              <a:noFill/>
            </a:ln>
            <a:effectLst/>
          </c:spPr>
          <c:invertIfNegative val="0"/>
          <c:cat>
            <c:strRef>
              <c:f>'PIVOT TABLE'!$I$73:$I$79</c:f>
              <c:strCache>
                <c:ptCount val="6"/>
                <c:pt idx="0">
                  <c:v>New York</c:v>
                </c:pt>
                <c:pt idx="1">
                  <c:v>Los Angeles</c:v>
                </c:pt>
                <c:pt idx="2">
                  <c:v>San Francisco</c:v>
                </c:pt>
                <c:pt idx="3">
                  <c:v>Houston</c:v>
                </c:pt>
                <c:pt idx="4">
                  <c:v>Chicago</c:v>
                </c:pt>
                <c:pt idx="5">
                  <c:v>Miami</c:v>
                </c:pt>
              </c:strCache>
            </c:strRef>
          </c:cat>
          <c:val>
            <c:numRef>
              <c:f>'PIVOT TABLE'!$J$73:$J$79</c:f>
              <c:numCache>
                <c:formatCode>0%</c:formatCode>
                <c:ptCount val="6"/>
                <c:pt idx="0">
                  <c:v>0.84745762711864403</c:v>
                </c:pt>
                <c:pt idx="1">
                  <c:v>1</c:v>
                </c:pt>
                <c:pt idx="2">
                  <c:v>1</c:v>
                </c:pt>
                <c:pt idx="3">
                  <c:v>0.93103448275862066</c:v>
                </c:pt>
                <c:pt idx="4">
                  <c:v>0</c:v>
                </c:pt>
                <c:pt idx="5">
                  <c:v>0</c:v>
                </c:pt>
              </c:numCache>
            </c:numRef>
          </c:val>
          <c:extLst>
            <c:ext xmlns:c16="http://schemas.microsoft.com/office/drawing/2014/chart" uri="{C3380CC4-5D6E-409C-BE32-E72D297353CC}">
              <c16:uniqueId val="{00000000-7BE1-4131-BB8C-B076D95F8F6F}"/>
            </c:ext>
          </c:extLst>
        </c:ser>
        <c:ser>
          <c:idx val="1"/>
          <c:order val="1"/>
          <c:tx>
            <c:strRef>
              <c:f>'PIVOT TABLE'!$K$71:$K$72</c:f>
              <c:strCache>
                <c:ptCount val="1"/>
                <c:pt idx="0">
                  <c:v>At Risk</c:v>
                </c:pt>
              </c:strCache>
            </c:strRef>
          </c:tx>
          <c:spPr>
            <a:solidFill>
              <a:schemeClr val="accent2"/>
            </a:solidFill>
            <a:ln>
              <a:noFill/>
            </a:ln>
            <a:effectLst/>
          </c:spPr>
          <c:invertIfNegative val="0"/>
          <c:cat>
            <c:strRef>
              <c:f>'PIVOT TABLE'!$I$73:$I$79</c:f>
              <c:strCache>
                <c:ptCount val="6"/>
                <c:pt idx="0">
                  <c:v>New York</c:v>
                </c:pt>
                <c:pt idx="1">
                  <c:v>Los Angeles</c:v>
                </c:pt>
                <c:pt idx="2">
                  <c:v>San Francisco</c:v>
                </c:pt>
                <c:pt idx="3">
                  <c:v>Houston</c:v>
                </c:pt>
                <c:pt idx="4">
                  <c:v>Chicago</c:v>
                </c:pt>
                <c:pt idx="5">
                  <c:v>Miami</c:v>
                </c:pt>
              </c:strCache>
            </c:strRef>
          </c:cat>
          <c:val>
            <c:numRef>
              <c:f>'PIVOT TABLE'!$K$73:$K$79</c:f>
              <c:numCache>
                <c:formatCode>0%</c:formatCode>
                <c:ptCount val="6"/>
                <c:pt idx="0">
                  <c:v>0.15254237288135594</c:v>
                </c:pt>
                <c:pt idx="1">
                  <c:v>0</c:v>
                </c:pt>
                <c:pt idx="2">
                  <c:v>0</c:v>
                </c:pt>
                <c:pt idx="3">
                  <c:v>6.8965517241379309E-2</c:v>
                </c:pt>
                <c:pt idx="4">
                  <c:v>1</c:v>
                </c:pt>
                <c:pt idx="5">
                  <c:v>1</c:v>
                </c:pt>
              </c:numCache>
            </c:numRef>
          </c:val>
          <c:extLst>
            <c:ext xmlns:c16="http://schemas.microsoft.com/office/drawing/2014/chart" uri="{C3380CC4-5D6E-409C-BE32-E72D297353CC}">
              <c16:uniqueId val="{00000001-7BE1-4131-BB8C-B076D95F8F6F}"/>
            </c:ext>
          </c:extLst>
        </c:ser>
        <c:dLbls>
          <c:showLegendKey val="0"/>
          <c:showVal val="0"/>
          <c:showCatName val="0"/>
          <c:showSerName val="0"/>
          <c:showPercent val="0"/>
          <c:showBubbleSize val="0"/>
        </c:dLbls>
        <c:gapWidth val="219"/>
        <c:overlap val="100"/>
        <c:axId val="868557632"/>
        <c:axId val="874377104"/>
      </c:barChart>
      <c:catAx>
        <c:axId val="8685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4377104"/>
        <c:crosses val="autoZero"/>
        <c:auto val="1"/>
        <c:lblAlgn val="ctr"/>
        <c:lblOffset val="100"/>
        <c:noMultiLvlLbl val="0"/>
      </c:catAx>
      <c:valAx>
        <c:axId val="87437710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5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TABLE!PivotTable18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TABLE'!$J$99:$J$100</c:f>
              <c:strCache>
                <c:ptCount val="1"/>
                <c:pt idx="0">
                  <c:v>No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TABLE'!$I$101:$I$102</c:f>
              <c:strCache>
                <c:ptCount val="2"/>
                <c:pt idx="0">
                  <c:v>26-35</c:v>
                </c:pt>
                <c:pt idx="1">
                  <c:v>36-45</c:v>
                </c:pt>
              </c:strCache>
            </c:strRef>
          </c:cat>
          <c:val>
            <c:numRef>
              <c:f>'PIVOT TABLE'!$J$101:$J$102</c:f>
              <c:numCache>
                <c:formatCode>0%</c:formatCode>
                <c:ptCount val="2"/>
                <c:pt idx="0">
                  <c:v>0.71367521367521369</c:v>
                </c:pt>
                <c:pt idx="1">
                  <c:v>0.46551724137931033</c:v>
                </c:pt>
              </c:numCache>
            </c:numRef>
          </c:val>
          <c:extLst>
            <c:ext xmlns:c16="http://schemas.microsoft.com/office/drawing/2014/chart" uri="{C3380CC4-5D6E-409C-BE32-E72D297353CC}">
              <c16:uniqueId val="{00000000-149B-40DC-8623-A65312BFFA9A}"/>
            </c:ext>
          </c:extLst>
        </c:ser>
        <c:ser>
          <c:idx val="1"/>
          <c:order val="1"/>
          <c:tx>
            <c:strRef>
              <c:f>'PIVOT TABLE'!$K$99:$K$100</c:f>
              <c:strCache>
                <c:ptCount val="1"/>
                <c:pt idx="0">
                  <c:v>At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TABLE'!$I$101:$I$102</c:f>
              <c:strCache>
                <c:ptCount val="2"/>
                <c:pt idx="0">
                  <c:v>26-35</c:v>
                </c:pt>
                <c:pt idx="1">
                  <c:v>36-45</c:v>
                </c:pt>
              </c:strCache>
            </c:strRef>
          </c:cat>
          <c:val>
            <c:numRef>
              <c:f>'PIVOT TABLE'!$K$101:$K$102</c:f>
              <c:numCache>
                <c:formatCode>0%</c:formatCode>
                <c:ptCount val="2"/>
                <c:pt idx="0">
                  <c:v>0.28632478632478631</c:v>
                </c:pt>
                <c:pt idx="1">
                  <c:v>0.53448275862068961</c:v>
                </c:pt>
              </c:numCache>
            </c:numRef>
          </c:val>
          <c:extLst>
            <c:ext xmlns:c16="http://schemas.microsoft.com/office/drawing/2014/chart" uri="{C3380CC4-5D6E-409C-BE32-E72D297353CC}">
              <c16:uniqueId val="{00000001-149B-40DC-8623-A65312BFFA9A}"/>
            </c:ext>
          </c:extLst>
        </c:ser>
        <c:dLbls>
          <c:dLblPos val="ctr"/>
          <c:showLegendKey val="0"/>
          <c:showVal val="1"/>
          <c:showCatName val="0"/>
          <c:showSerName val="0"/>
          <c:showPercent val="0"/>
          <c:showBubbleSize val="0"/>
        </c:dLbls>
        <c:gapWidth val="150"/>
        <c:overlap val="100"/>
        <c:axId val="721423344"/>
        <c:axId val="1239968336"/>
      </c:barChart>
      <c:catAx>
        <c:axId val="72142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9968336"/>
        <c:crosses val="autoZero"/>
        <c:auto val="1"/>
        <c:lblAlgn val="ctr"/>
        <c:lblOffset val="100"/>
        <c:noMultiLvlLbl val="0"/>
      </c:catAx>
      <c:valAx>
        <c:axId val="1239968336"/>
        <c:scaling>
          <c:orientation val="minMax"/>
        </c:scaling>
        <c:delete val="1"/>
        <c:axPos val="l"/>
        <c:numFmt formatCode="0%" sourceLinked="1"/>
        <c:majorTickMark val="none"/>
        <c:minorTickMark val="none"/>
        <c:tickLblPos val="nextTo"/>
        <c:crossAx val="72142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Customer Behavior - Sheet1.xlsx]PIVOT TABLE!PivotTable20</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TABLE'!$K$121:$K$122</c:f>
              <c:strCache>
                <c:ptCount val="1"/>
                <c:pt idx="0">
                  <c:v>At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TABLE'!$J$123:$J$125</c:f>
              <c:strCache>
                <c:ptCount val="3"/>
                <c:pt idx="0">
                  <c:v>Neutral</c:v>
                </c:pt>
                <c:pt idx="1">
                  <c:v>Satisfied</c:v>
                </c:pt>
                <c:pt idx="2">
                  <c:v>Unsatisfied</c:v>
                </c:pt>
              </c:strCache>
            </c:strRef>
          </c:cat>
          <c:val>
            <c:numRef>
              <c:f>'PIVOT TABLE'!$K$123:$K$125</c:f>
              <c:numCache>
                <c:formatCode>0%</c:formatCode>
                <c:ptCount val="3"/>
                <c:pt idx="0">
                  <c:v>3.4482758620689655E-2</c:v>
                </c:pt>
                <c:pt idx="1">
                  <c:v>0</c:v>
                </c:pt>
                <c:pt idx="2">
                  <c:v>0.5</c:v>
                </c:pt>
              </c:numCache>
            </c:numRef>
          </c:val>
          <c:extLst>
            <c:ext xmlns:c16="http://schemas.microsoft.com/office/drawing/2014/chart" uri="{C3380CC4-5D6E-409C-BE32-E72D297353CC}">
              <c16:uniqueId val="{00000000-AC91-4735-B05F-BE6DADE88123}"/>
            </c:ext>
          </c:extLst>
        </c:ser>
        <c:ser>
          <c:idx val="1"/>
          <c:order val="1"/>
          <c:tx>
            <c:strRef>
              <c:f>'PIVOT TABLE'!$L$121:$L$122</c:f>
              <c:strCache>
                <c:ptCount val="1"/>
                <c:pt idx="0">
                  <c:v>No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TABLE'!$J$123:$J$125</c:f>
              <c:strCache>
                <c:ptCount val="3"/>
                <c:pt idx="0">
                  <c:v>Neutral</c:v>
                </c:pt>
                <c:pt idx="1">
                  <c:v>Satisfied</c:v>
                </c:pt>
                <c:pt idx="2">
                  <c:v>Unsatisfied</c:v>
                </c:pt>
              </c:strCache>
            </c:strRef>
          </c:cat>
          <c:val>
            <c:numRef>
              <c:f>'PIVOT TABLE'!$L$123:$L$125</c:f>
              <c:numCache>
                <c:formatCode>0%</c:formatCode>
                <c:ptCount val="3"/>
                <c:pt idx="0">
                  <c:v>0.45689655172413796</c:v>
                </c:pt>
                <c:pt idx="1">
                  <c:v>8.6206896551724137E-3</c:v>
                </c:pt>
                <c:pt idx="2">
                  <c:v>0</c:v>
                </c:pt>
              </c:numCache>
            </c:numRef>
          </c:val>
          <c:extLst>
            <c:ext xmlns:c16="http://schemas.microsoft.com/office/drawing/2014/chart" uri="{C3380CC4-5D6E-409C-BE32-E72D297353CC}">
              <c16:uniqueId val="{00000001-AC91-4735-B05F-BE6DADE88123}"/>
            </c:ext>
          </c:extLst>
        </c:ser>
        <c:dLbls>
          <c:dLblPos val="ctr"/>
          <c:showLegendKey val="0"/>
          <c:showVal val="1"/>
          <c:showCatName val="0"/>
          <c:showSerName val="0"/>
          <c:showPercent val="0"/>
          <c:showBubbleSize val="0"/>
        </c:dLbls>
        <c:gapWidth val="150"/>
        <c:overlap val="100"/>
        <c:axId val="1090886016"/>
        <c:axId val="875500992"/>
      </c:barChart>
      <c:catAx>
        <c:axId val="10908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5500992"/>
        <c:crosses val="autoZero"/>
        <c:auto val="1"/>
        <c:lblAlgn val="ctr"/>
        <c:lblOffset val="100"/>
        <c:noMultiLvlLbl val="0"/>
      </c:catAx>
      <c:valAx>
        <c:axId val="875500992"/>
        <c:scaling>
          <c:orientation val="minMax"/>
        </c:scaling>
        <c:delete val="1"/>
        <c:axPos val="l"/>
        <c:numFmt formatCode="0%" sourceLinked="1"/>
        <c:majorTickMark val="none"/>
        <c:minorTickMark val="none"/>
        <c:tickLblPos val="nextTo"/>
        <c:crossAx val="109088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133350</xdr:colOff>
      <xdr:row>10</xdr:row>
      <xdr:rowOff>88900</xdr:rowOff>
    </xdr:from>
    <xdr:to>
      <xdr:col>5</xdr:col>
      <xdr:colOff>234950</xdr:colOff>
      <xdr:row>25</xdr:row>
      <xdr:rowOff>12700</xdr:rowOff>
    </xdr:to>
    <xdr:graphicFrame macro="">
      <xdr:nvGraphicFramePr>
        <xdr:cNvPr id="2" name="Chart 1">
          <a:extLst>
            <a:ext uri="{FF2B5EF4-FFF2-40B4-BE49-F238E27FC236}">
              <a16:creationId xmlns:a16="http://schemas.microsoft.com/office/drawing/2014/main" id="{1DEDB2CF-7045-4AEA-A8EA-376B296DE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34925</xdr:colOff>
      <xdr:row>33</xdr:row>
      <xdr:rowOff>139700</xdr:rowOff>
    </xdr:from>
    <xdr:to>
      <xdr:col>5</xdr:col>
      <xdr:colOff>365125</xdr:colOff>
      <xdr:row>48</xdr:row>
      <xdr:rowOff>120650</xdr:rowOff>
    </xdr:to>
    <xdr:graphicFrame macro="">
      <xdr:nvGraphicFramePr>
        <xdr:cNvPr id="4" name="Chart 3">
          <a:extLst>
            <a:ext uri="{FF2B5EF4-FFF2-40B4-BE49-F238E27FC236}">
              <a16:creationId xmlns:a16="http://schemas.microsoft.com/office/drawing/2014/main" id="{96F400E3-75B1-4AA9-B389-2C8D97AC3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415925</xdr:colOff>
      <xdr:row>9</xdr:row>
      <xdr:rowOff>19050</xdr:rowOff>
    </xdr:from>
    <xdr:to>
      <xdr:col>20</xdr:col>
      <xdr:colOff>238125</xdr:colOff>
      <xdr:row>24</xdr:row>
      <xdr:rowOff>0</xdr:rowOff>
    </xdr:to>
    <xdr:graphicFrame macro="">
      <xdr:nvGraphicFramePr>
        <xdr:cNvPr id="5" name="Chart 4">
          <a:extLst>
            <a:ext uri="{FF2B5EF4-FFF2-40B4-BE49-F238E27FC236}">
              <a16:creationId xmlns:a16="http://schemas.microsoft.com/office/drawing/2014/main" id="{483D0D0D-2500-4805-A33E-C9B915A98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50800</xdr:colOff>
      <xdr:row>6</xdr:row>
      <xdr:rowOff>158750</xdr:rowOff>
    </xdr:from>
    <xdr:to>
      <xdr:col>28</xdr:col>
      <xdr:colOff>558799</xdr:colOff>
      <xdr:row>21</xdr:row>
      <xdr:rowOff>146050</xdr:rowOff>
    </xdr:to>
    <xdr:graphicFrame macro="">
      <xdr:nvGraphicFramePr>
        <xdr:cNvPr id="6" name="Chart 5">
          <a:extLst>
            <a:ext uri="{FF2B5EF4-FFF2-40B4-BE49-F238E27FC236}">
              <a16:creationId xmlns:a16="http://schemas.microsoft.com/office/drawing/2014/main" id="{473E1CA3-9807-4709-BBDD-533252621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98425</xdr:colOff>
      <xdr:row>56</xdr:row>
      <xdr:rowOff>19050</xdr:rowOff>
    </xdr:from>
    <xdr:to>
      <xdr:col>5</xdr:col>
      <xdr:colOff>530225</xdr:colOff>
      <xdr:row>71</xdr:row>
      <xdr:rowOff>0</xdr:rowOff>
    </xdr:to>
    <xdr:graphicFrame macro="">
      <xdr:nvGraphicFramePr>
        <xdr:cNvPr id="7" name="Chart 6">
          <a:extLst>
            <a:ext uri="{FF2B5EF4-FFF2-40B4-BE49-F238E27FC236}">
              <a16:creationId xmlns:a16="http://schemas.microsoft.com/office/drawing/2014/main" id="{D6BED59C-D4A0-489E-9739-B7556F634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31750</xdr:colOff>
      <xdr:row>80</xdr:row>
      <xdr:rowOff>146050</xdr:rowOff>
    </xdr:from>
    <xdr:to>
      <xdr:col>6</xdr:col>
      <xdr:colOff>400050</xdr:colOff>
      <xdr:row>93</xdr:row>
      <xdr:rowOff>44450</xdr:rowOff>
    </xdr:to>
    <xdr:graphicFrame macro="">
      <xdr:nvGraphicFramePr>
        <xdr:cNvPr id="9" name="Chart 8">
          <a:extLst>
            <a:ext uri="{FF2B5EF4-FFF2-40B4-BE49-F238E27FC236}">
              <a16:creationId xmlns:a16="http://schemas.microsoft.com/office/drawing/2014/main" id="{5237E869-6A19-4020-91DE-835D2D718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21648</xdr:colOff>
      <xdr:row>106</xdr:row>
      <xdr:rowOff>14433</xdr:rowOff>
    </xdr:from>
    <xdr:to>
      <xdr:col>6</xdr:col>
      <xdr:colOff>216477</xdr:colOff>
      <xdr:row>118</xdr:row>
      <xdr:rowOff>58077</xdr:rowOff>
    </xdr:to>
    <xdr:graphicFrame macro="">
      <xdr:nvGraphicFramePr>
        <xdr:cNvPr id="10" name="Chart 9">
          <a:extLst>
            <a:ext uri="{FF2B5EF4-FFF2-40B4-BE49-F238E27FC236}">
              <a16:creationId xmlns:a16="http://schemas.microsoft.com/office/drawing/2014/main" id="{607E2307-97AC-41EA-AFB6-4E8E89A17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217921</xdr:colOff>
      <xdr:row>129</xdr:row>
      <xdr:rowOff>50512</xdr:rowOff>
    </xdr:from>
    <xdr:to>
      <xdr:col>7</xdr:col>
      <xdr:colOff>699944</xdr:colOff>
      <xdr:row>146</xdr:row>
      <xdr:rowOff>28864</xdr:rowOff>
    </xdr:to>
    <xdr:graphicFrame macro="">
      <xdr:nvGraphicFramePr>
        <xdr:cNvPr id="11" name="Chart 10">
          <a:extLst>
            <a:ext uri="{FF2B5EF4-FFF2-40B4-BE49-F238E27FC236}">
              <a16:creationId xmlns:a16="http://schemas.microsoft.com/office/drawing/2014/main" id="{AA85F538-9A29-461D-A39A-D98315F08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159</xdr:row>
      <xdr:rowOff>53079</xdr:rowOff>
    </xdr:from>
    <xdr:to>
      <xdr:col>5</xdr:col>
      <xdr:colOff>289821</xdr:colOff>
      <xdr:row>173</xdr:row>
      <xdr:rowOff>174869</xdr:rowOff>
    </xdr:to>
    <xdr:graphicFrame macro="">
      <xdr:nvGraphicFramePr>
        <xdr:cNvPr id="12" name="Chart 11">
          <a:extLst>
            <a:ext uri="{FF2B5EF4-FFF2-40B4-BE49-F238E27FC236}">
              <a16:creationId xmlns:a16="http://schemas.microsoft.com/office/drawing/2014/main" id="{9318B5EF-021A-47DA-B0E5-E5856F5BE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567431</xdr:colOff>
      <xdr:row>30</xdr:row>
      <xdr:rowOff>97692</xdr:rowOff>
    </xdr:from>
    <xdr:to>
      <xdr:col>28</xdr:col>
      <xdr:colOff>170961</xdr:colOff>
      <xdr:row>44</xdr:row>
      <xdr:rowOff>24423</xdr:rowOff>
    </xdr:to>
    <xdr:graphicFrame macro="">
      <xdr:nvGraphicFramePr>
        <xdr:cNvPr id="3" name="Chart 2">
          <a:extLst>
            <a:ext uri="{FF2B5EF4-FFF2-40B4-BE49-F238E27FC236}">
              <a16:creationId xmlns:a16="http://schemas.microsoft.com/office/drawing/2014/main" id="{43E98DD0-3550-4C35-972E-8A5058195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38264</xdr:colOff>
      <xdr:row>50</xdr:row>
      <xdr:rowOff>77502</xdr:rowOff>
    </xdr:from>
    <xdr:to>
      <xdr:col>28</xdr:col>
      <xdr:colOff>515328</xdr:colOff>
      <xdr:row>65</xdr:row>
      <xdr:rowOff>12049</xdr:rowOff>
    </xdr:to>
    <xdr:graphicFrame macro="">
      <xdr:nvGraphicFramePr>
        <xdr:cNvPr id="8" name="Chart 7">
          <a:extLst>
            <a:ext uri="{FF2B5EF4-FFF2-40B4-BE49-F238E27FC236}">
              <a16:creationId xmlns:a16="http://schemas.microsoft.com/office/drawing/2014/main" id="{4A788792-C879-4C4A-B6CE-B867FF308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591853</xdr:colOff>
      <xdr:row>65</xdr:row>
      <xdr:rowOff>93786</xdr:rowOff>
    </xdr:from>
    <xdr:to>
      <xdr:col>28</xdr:col>
      <xdr:colOff>458340</xdr:colOff>
      <xdr:row>80</xdr:row>
      <xdr:rowOff>28332</xdr:rowOff>
    </xdr:to>
    <xdr:graphicFrame macro="">
      <xdr:nvGraphicFramePr>
        <xdr:cNvPr id="13" name="Chart 12">
          <a:extLst>
            <a:ext uri="{FF2B5EF4-FFF2-40B4-BE49-F238E27FC236}">
              <a16:creationId xmlns:a16="http://schemas.microsoft.com/office/drawing/2014/main" id="{49ABD3F1-479A-4EB7-A2E1-AABE98DED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591853</xdr:colOff>
      <xdr:row>89</xdr:row>
      <xdr:rowOff>167053</xdr:rowOff>
    </xdr:from>
    <xdr:to>
      <xdr:col>28</xdr:col>
      <xdr:colOff>205968</xdr:colOff>
      <xdr:row>104</xdr:row>
      <xdr:rowOff>101600</xdr:rowOff>
    </xdr:to>
    <xdr:graphicFrame macro="">
      <xdr:nvGraphicFramePr>
        <xdr:cNvPr id="14" name="Chart 13">
          <a:extLst>
            <a:ext uri="{FF2B5EF4-FFF2-40B4-BE49-F238E27FC236}">
              <a16:creationId xmlns:a16="http://schemas.microsoft.com/office/drawing/2014/main" id="{637D569B-61F4-4476-8332-43A8B3652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670168</xdr:colOff>
      <xdr:row>113</xdr:row>
      <xdr:rowOff>22794</xdr:rowOff>
    </xdr:from>
    <xdr:to>
      <xdr:col>29</xdr:col>
      <xdr:colOff>756788</xdr:colOff>
      <xdr:row>126</xdr:row>
      <xdr:rowOff>112753</xdr:rowOff>
    </xdr:to>
    <mc:AlternateContent xmlns:mc="http://schemas.openxmlformats.org/markup-compatibility/2006" xmlns:a14="http://schemas.microsoft.com/office/drawing/2010/main">
      <mc:Choice Requires="a14">
        <xdr:graphicFrame macro="">
          <xdr:nvGraphicFramePr>
            <xdr:cNvPr id="15" name="Age">
              <a:extLst>
                <a:ext uri="{FF2B5EF4-FFF2-40B4-BE49-F238E27FC236}">
                  <a16:creationId xmlns:a16="http://schemas.microsoft.com/office/drawing/2014/main" id="{68E68111-9159-4B81-AB4D-EEB200576E4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3269655" y="21205743"/>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21981</xdr:colOff>
      <xdr:row>117</xdr:row>
      <xdr:rowOff>28657</xdr:rowOff>
    </xdr:from>
    <xdr:to>
      <xdr:col>27</xdr:col>
      <xdr:colOff>344365</xdr:colOff>
      <xdr:row>131</xdr:row>
      <xdr:rowOff>150447</xdr:rowOff>
    </xdr:to>
    <xdr:graphicFrame macro="">
      <xdr:nvGraphicFramePr>
        <xdr:cNvPr id="16" name="Chart 15">
          <a:extLst>
            <a:ext uri="{FF2B5EF4-FFF2-40B4-BE49-F238E27FC236}">
              <a16:creationId xmlns:a16="http://schemas.microsoft.com/office/drawing/2014/main" id="{5085C026-62D4-45B0-844A-4A8BB38FC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730251</xdr:colOff>
      <xdr:row>5</xdr:row>
      <xdr:rowOff>118208</xdr:rowOff>
    </xdr:from>
    <xdr:to>
      <xdr:col>12</xdr:col>
      <xdr:colOff>262956</xdr:colOff>
      <xdr:row>20</xdr:row>
      <xdr:rowOff>52754</xdr:rowOff>
    </xdr:to>
    <xdr:graphicFrame macro="">
      <xdr:nvGraphicFramePr>
        <xdr:cNvPr id="17" name="Chart 16">
          <a:extLst>
            <a:ext uri="{FF2B5EF4-FFF2-40B4-BE49-F238E27FC236}">
              <a16:creationId xmlns:a16="http://schemas.microsoft.com/office/drawing/2014/main" id="{00B01AF7-714D-447E-889C-D0FE4150E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559288</xdr:colOff>
      <xdr:row>32</xdr:row>
      <xdr:rowOff>175195</xdr:rowOff>
    </xdr:from>
    <xdr:to>
      <xdr:col>12</xdr:col>
      <xdr:colOff>564173</xdr:colOff>
      <xdr:row>47</xdr:row>
      <xdr:rowOff>109741</xdr:rowOff>
    </xdr:to>
    <xdr:graphicFrame macro="">
      <xdr:nvGraphicFramePr>
        <xdr:cNvPr id="18" name="Chart 17">
          <a:extLst>
            <a:ext uri="{FF2B5EF4-FFF2-40B4-BE49-F238E27FC236}">
              <a16:creationId xmlns:a16="http://schemas.microsoft.com/office/drawing/2014/main" id="{181064C4-6AEB-4122-ADEE-AE442ED7D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656980</xdr:colOff>
      <xdr:row>54</xdr:row>
      <xdr:rowOff>130256</xdr:rowOff>
    </xdr:from>
    <xdr:to>
      <xdr:col>11</xdr:col>
      <xdr:colOff>325641</xdr:colOff>
      <xdr:row>68</xdr:row>
      <xdr:rowOff>28331</xdr:rowOff>
    </xdr:to>
    <xdr:graphicFrame macro="">
      <xdr:nvGraphicFramePr>
        <xdr:cNvPr id="20" name="Chart 19">
          <a:extLst>
            <a:ext uri="{FF2B5EF4-FFF2-40B4-BE49-F238E27FC236}">
              <a16:creationId xmlns:a16="http://schemas.microsoft.com/office/drawing/2014/main" id="{D461E2BB-4F3B-4142-8CC2-E1452A836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87107</xdr:colOff>
      <xdr:row>80</xdr:row>
      <xdr:rowOff>16282</xdr:rowOff>
    </xdr:from>
    <xdr:to>
      <xdr:col>13</xdr:col>
      <xdr:colOff>553589</xdr:colOff>
      <xdr:row>96</xdr:row>
      <xdr:rowOff>12049</xdr:rowOff>
    </xdr:to>
    <xdr:graphicFrame macro="">
      <xdr:nvGraphicFramePr>
        <xdr:cNvPr id="21" name="Chart 20">
          <a:extLst>
            <a:ext uri="{FF2B5EF4-FFF2-40B4-BE49-F238E27FC236}">
              <a16:creationId xmlns:a16="http://schemas.microsoft.com/office/drawing/2014/main" id="{3DA5BBFA-3B0B-42D4-95F9-81A43B1AA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925634</xdr:colOff>
      <xdr:row>102</xdr:row>
      <xdr:rowOff>142631</xdr:rowOff>
    </xdr:from>
    <xdr:to>
      <xdr:col>13</xdr:col>
      <xdr:colOff>230391</xdr:colOff>
      <xdr:row>117</xdr:row>
      <xdr:rowOff>77177</xdr:rowOff>
    </xdr:to>
    <xdr:graphicFrame macro="">
      <xdr:nvGraphicFramePr>
        <xdr:cNvPr id="22" name="Chart 21">
          <a:extLst>
            <a:ext uri="{FF2B5EF4-FFF2-40B4-BE49-F238E27FC236}">
              <a16:creationId xmlns:a16="http://schemas.microsoft.com/office/drawing/2014/main" id="{B3842E20-33AF-46CA-8E86-A69E4E7BF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1202428</xdr:colOff>
      <xdr:row>125</xdr:row>
      <xdr:rowOff>162820</xdr:rowOff>
    </xdr:from>
    <xdr:to>
      <xdr:col>12</xdr:col>
      <xdr:colOff>667564</xdr:colOff>
      <xdr:row>141</xdr:row>
      <xdr:rowOff>109741</xdr:rowOff>
    </xdr:to>
    <xdr:graphicFrame macro="">
      <xdr:nvGraphicFramePr>
        <xdr:cNvPr id="23" name="Chart 22">
          <a:extLst>
            <a:ext uri="{FF2B5EF4-FFF2-40B4-BE49-F238E27FC236}">
              <a16:creationId xmlns:a16="http://schemas.microsoft.com/office/drawing/2014/main" id="{52533F90-931A-48E0-980E-528C6BF91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60593622685" createdVersion="6" refreshedVersion="6" minRefreshableVersion="3" recordCount="350" xr:uid="{00000000-000A-0000-FFFF-FFFF07000000}">
  <cacheSource type="worksheet">
    <worksheetSource name="Table1"/>
  </cacheSource>
  <cacheFields count="13">
    <cacheField name="Customer ID" numFmtId="0">
      <sharedItems containsSemiMixedTypes="0" containsString="0" containsNumber="1" containsInteger="1" minValue="101" maxValue="450"/>
    </cacheField>
    <cacheField name="Gender" numFmtId="0">
      <sharedItems count="2">
        <s v="Female"/>
        <s v="Male"/>
      </sharedItems>
    </cacheField>
    <cacheField name="Age" numFmtId="0">
      <sharedItems containsSemiMixedTypes="0" containsString="0" containsNumber="1" containsInteger="1" minValue="26" maxValue="43" count="16">
        <n v="29"/>
        <n v="34"/>
        <n v="43"/>
        <n v="30"/>
        <n v="27"/>
        <n v="37"/>
        <n v="31"/>
        <n v="35"/>
        <n v="41"/>
        <n v="28"/>
        <n v="32"/>
        <n v="36"/>
        <n v="33"/>
        <n v="42"/>
        <n v="26"/>
        <n v="38"/>
      </sharedItems>
      <fieldGroup base="2">
        <rangePr startNum="26" endNum="43" groupInterval="10"/>
        <groupItems count="4">
          <s v="&lt;26"/>
          <s v="26-35"/>
          <s v="36-45"/>
          <s v="&gt;46"/>
        </groupItems>
      </fieldGroup>
    </cacheField>
    <cacheField name="City" numFmtId="0">
      <sharedItems count="6">
        <s v="New York"/>
        <s v="Los Angeles"/>
        <s v="Chicago"/>
        <s v="San Francisco"/>
        <s v="Miami"/>
        <s v="Houston"/>
      </sharedItems>
    </cacheField>
    <cacheField name="Membership Type" numFmtId="0">
      <sharedItems count="3">
        <s v="Gold"/>
        <s v="Silver"/>
        <s v="Bronze"/>
      </sharedItems>
    </cacheField>
    <cacheField name="Total Spend" numFmtId="0">
      <sharedItems containsSemiMixedTypes="0" containsString="0" containsNumber="1" minValue="410.8" maxValue="1520.1"/>
    </cacheField>
    <cacheField name="Items Purchased" numFmtId="0">
      <sharedItems containsSemiMixedTypes="0" containsString="0" containsNumber="1" containsInteger="1" minValue="7" maxValue="21"/>
    </cacheField>
    <cacheField name="Average Rating" numFmtId="0">
      <sharedItems containsSemiMixedTypes="0" containsString="0" containsNumber="1" minValue="3" maxValue="4.9000000000000004"/>
    </cacheField>
    <cacheField name="Discount Applied" numFmtId="0">
      <sharedItems count="2">
        <b v="1"/>
        <b v="0"/>
      </sharedItems>
    </cacheField>
    <cacheField name="Days Since Last Purchase" numFmtId="0">
      <sharedItems containsSemiMixedTypes="0" containsString="0" containsNumber="1" containsInteger="1" minValue="9" maxValue="63"/>
    </cacheField>
    <cacheField name="Satisfaction Level" numFmtId="0">
      <sharedItems count="4">
        <s v="Satisfied"/>
        <s v="Neutral"/>
        <s v="Unsatisfied"/>
        <s v="Unkown" u="1"/>
      </sharedItems>
    </cacheField>
    <cacheField name="DSLP in weeks" numFmtId="0">
      <sharedItems/>
    </cacheField>
    <cacheField name=" Churn Risk" numFmtId="0">
      <sharedItems count="2">
        <s v="No Risk"/>
        <s v="At Risk"/>
      </sharedItems>
    </cacheField>
  </cacheFields>
  <extLst>
    <ext xmlns:x14="http://schemas.microsoft.com/office/spreadsheetml/2009/9/main" uri="{725AE2AE-9491-48be-B2B4-4EB974FC3084}">
      <x14:pivotCacheDefinition pivotCacheId="850213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n v="101"/>
    <x v="0"/>
    <x v="0"/>
    <x v="0"/>
    <x v="0"/>
    <n v="1120.2"/>
    <n v="14"/>
    <n v="4.5999999999999996"/>
    <x v="0"/>
    <n v="25"/>
    <x v="0"/>
    <s v="4-weeks"/>
    <x v="0"/>
  </r>
  <r>
    <n v="102"/>
    <x v="1"/>
    <x v="1"/>
    <x v="1"/>
    <x v="1"/>
    <n v="780.5"/>
    <n v="11"/>
    <n v="4.0999999999999996"/>
    <x v="1"/>
    <n v="18"/>
    <x v="1"/>
    <s v="3-weeks"/>
    <x v="0"/>
  </r>
  <r>
    <n v="103"/>
    <x v="0"/>
    <x v="2"/>
    <x v="2"/>
    <x v="2"/>
    <n v="510.75"/>
    <n v="9"/>
    <n v="3.4"/>
    <x v="0"/>
    <n v="42"/>
    <x v="2"/>
    <s v="6-weeks"/>
    <x v="1"/>
  </r>
  <r>
    <n v="104"/>
    <x v="1"/>
    <x v="3"/>
    <x v="3"/>
    <x v="0"/>
    <n v="1480.3"/>
    <n v="19"/>
    <n v="4.7"/>
    <x v="1"/>
    <n v="12"/>
    <x v="0"/>
    <s v="2-weeks"/>
    <x v="0"/>
  </r>
  <r>
    <n v="105"/>
    <x v="1"/>
    <x v="4"/>
    <x v="4"/>
    <x v="1"/>
    <n v="720.4"/>
    <n v="13"/>
    <n v="4"/>
    <x v="0"/>
    <n v="55"/>
    <x v="2"/>
    <s v="8-weeks"/>
    <x v="1"/>
  </r>
  <r>
    <n v="106"/>
    <x v="0"/>
    <x v="5"/>
    <x v="5"/>
    <x v="2"/>
    <n v="440.8"/>
    <n v="8"/>
    <n v="3.1"/>
    <x v="1"/>
    <n v="22"/>
    <x v="1"/>
    <s v="4-weeks"/>
    <x v="0"/>
  </r>
  <r>
    <n v="107"/>
    <x v="0"/>
    <x v="6"/>
    <x v="0"/>
    <x v="0"/>
    <n v="1150.5999999999999"/>
    <n v="15"/>
    <n v="4.5"/>
    <x v="0"/>
    <n v="28"/>
    <x v="0"/>
    <s v="4-weeks"/>
    <x v="0"/>
  </r>
  <r>
    <n v="108"/>
    <x v="1"/>
    <x v="7"/>
    <x v="1"/>
    <x v="1"/>
    <n v="800.9"/>
    <n v="12"/>
    <n v="4.2"/>
    <x v="1"/>
    <n v="14"/>
    <x v="1"/>
    <s v="2-weeks"/>
    <x v="0"/>
  </r>
  <r>
    <n v="109"/>
    <x v="0"/>
    <x v="8"/>
    <x v="2"/>
    <x v="2"/>
    <n v="495.25"/>
    <n v="10"/>
    <n v="3.6"/>
    <x v="0"/>
    <n v="40"/>
    <x v="2"/>
    <s v="6-weeks"/>
    <x v="1"/>
  </r>
  <r>
    <n v="110"/>
    <x v="1"/>
    <x v="9"/>
    <x v="3"/>
    <x v="0"/>
    <n v="1520.1"/>
    <n v="21"/>
    <n v="4.8"/>
    <x v="1"/>
    <n v="9"/>
    <x v="0"/>
    <s v="2-weeks"/>
    <x v="0"/>
  </r>
  <r>
    <n v="111"/>
    <x v="1"/>
    <x v="10"/>
    <x v="4"/>
    <x v="1"/>
    <n v="690.3"/>
    <n v="11"/>
    <n v="3.8"/>
    <x v="0"/>
    <n v="34"/>
    <x v="2"/>
    <s v="5-weeks"/>
    <x v="1"/>
  </r>
  <r>
    <n v="112"/>
    <x v="0"/>
    <x v="11"/>
    <x v="5"/>
    <x v="2"/>
    <n v="470.5"/>
    <n v="7"/>
    <n v="3.2"/>
    <x v="1"/>
    <n v="20"/>
    <x v="1"/>
    <s v="3-weeks"/>
    <x v="0"/>
  </r>
  <r>
    <n v="113"/>
    <x v="0"/>
    <x v="3"/>
    <x v="0"/>
    <x v="0"/>
    <n v="1200.8"/>
    <n v="16"/>
    <n v="4.3"/>
    <x v="0"/>
    <n v="21"/>
    <x v="0"/>
    <s v="3-weeks"/>
    <x v="0"/>
  </r>
  <r>
    <n v="114"/>
    <x v="1"/>
    <x v="12"/>
    <x v="1"/>
    <x v="1"/>
    <n v="820.75"/>
    <n v="13"/>
    <n v="4.4000000000000004"/>
    <x v="1"/>
    <n v="15"/>
    <x v="0"/>
    <s v="3-weeks"/>
    <x v="0"/>
  </r>
  <r>
    <n v="115"/>
    <x v="0"/>
    <x v="13"/>
    <x v="2"/>
    <x v="2"/>
    <n v="530.4"/>
    <n v="9"/>
    <n v="3.5"/>
    <x v="0"/>
    <n v="38"/>
    <x v="2"/>
    <s v="6-weeks"/>
    <x v="1"/>
  </r>
  <r>
    <n v="116"/>
    <x v="1"/>
    <x v="0"/>
    <x v="3"/>
    <x v="0"/>
    <n v="1360.2"/>
    <n v="18"/>
    <n v="4.9000000000000004"/>
    <x v="1"/>
    <n v="11"/>
    <x v="0"/>
    <s v="2-weeks"/>
    <x v="0"/>
  </r>
  <r>
    <n v="117"/>
    <x v="1"/>
    <x v="14"/>
    <x v="4"/>
    <x v="1"/>
    <n v="700.6"/>
    <n v="12"/>
    <n v="3.7"/>
    <x v="0"/>
    <n v="48"/>
    <x v="2"/>
    <s v="7-weeks"/>
    <x v="1"/>
  </r>
  <r>
    <n v="118"/>
    <x v="0"/>
    <x v="15"/>
    <x v="5"/>
    <x v="2"/>
    <n v="450.9"/>
    <n v="8"/>
    <n v="3"/>
    <x v="1"/>
    <n v="25"/>
    <x v="1"/>
    <s v="4-weeks"/>
    <x v="0"/>
  </r>
  <r>
    <n v="119"/>
    <x v="0"/>
    <x v="10"/>
    <x v="0"/>
    <x v="0"/>
    <n v="1170.3"/>
    <n v="14"/>
    <n v="4.7"/>
    <x v="0"/>
    <n v="29"/>
    <x v="0"/>
    <s v="5-weeks"/>
    <x v="1"/>
  </r>
  <r>
    <n v="120"/>
    <x v="1"/>
    <x v="1"/>
    <x v="1"/>
    <x v="1"/>
    <n v="790.2"/>
    <n v="11"/>
    <n v="4"/>
    <x v="1"/>
    <n v="16"/>
    <x v="1"/>
    <s v="3-weeks"/>
    <x v="0"/>
  </r>
  <r>
    <n v="121"/>
    <x v="0"/>
    <x v="2"/>
    <x v="2"/>
    <x v="2"/>
    <n v="505.75"/>
    <n v="10"/>
    <n v="3.3"/>
    <x v="0"/>
    <n v="41"/>
    <x v="2"/>
    <s v="6-weeks"/>
    <x v="1"/>
  </r>
  <r>
    <n v="122"/>
    <x v="1"/>
    <x v="3"/>
    <x v="3"/>
    <x v="0"/>
    <n v="1470.5"/>
    <n v="20"/>
    <n v="4.8"/>
    <x v="1"/>
    <n v="13"/>
    <x v="0"/>
    <s v="2-weeks"/>
    <x v="0"/>
  </r>
  <r>
    <n v="123"/>
    <x v="1"/>
    <x v="4"/>
    <x v="4"/>
    <x v="1"/>
    <n v="710.4"/>
    <n v="13"/>
    <n v="4.0999999999999996"/>
    <x v="0"/>
    <n v="54"/>
    <x v="2"/>
    <s v="8-weeks"/>
    <x v="1"/>
  </r>
  <r>
    <n v="124"/>
    <x v="0"/>
    <x v="5"/>
    <x v="5"/>
    <x v="2"/>
    <n v="430.8"/>
    <n v="7"/>
    <n v="3.4"/>
    <x v="1"/>
    <n v="23"/>
    <x v="1"/>
    <s v="4-weeks"/>
    <x v="0"/>
  </r>
  <r>
    <n v="125"/>
    <x v="0"/>
    <x v="6"/>
    <x v="0"/>
    <x v="0"/>
    <n v="1140.5999999999999"/>
    <n v="15"/>
    <n v="4.5999999999999996"/>
    <x v="0"/>
    <n v="27"/>
    <x v="0"/>
    <s v="4-weeks"/>
    <x v="0"/>
  </r>
  <r>
    <n v="126"/>
    <x v="1"/>
    <x v="7"/>
    <x v="1"/>
    <x v="1"/>
    <n v="810.9"/>
    <n v="12"/>
    <n v="4.3"/>
    <x v="1"/>
    <n v="13"/>
    <x v="1"/>
    <s v="2-weeks"/>
    <x v="0"/>
  </r>
  <r>
    <n v="127"/>
    <x v="0"/>
    <x v="8"/>
    <x v="2"/>
    <x v="2"/>
    <n v="485.25"/>
    <n v="9"/>
    <n v="3.6"/>
    <x v="0"/>
    <n v="39"/>
    <x v="2"/>
    <s v="6-weeks"/>
    <x v="1"/>
  </r>
  <r>
    <n v="128"/>
    <x v="1"/>
    <x v="9"/>
    <x v="3"/>
    <x v="0"/>
    <n v="1500.1"/>
    <n v="21"/>
    <n v="4.9000000000000004"/>
    <x v="1"/>
    <n v="10"/>
    <x v="0"/>
    <s v="2-weeks"/>
    <x v="0"/>
  </r>
  <r>
    <n v="129"/>
    <x v="1"/>
    <x v="10"/>
    <x v="4"/>
    <x v="1"/>
    <n v="670.3"/>
    <n v="10"/>
    <n v="3.8"/>
    <x v="0"/>
    <n v="33"/>
    <x v="2"/>
    <s v="5-weeks"/>
    <x v="1"/>
  </r>
  <r>
    <n v="130"/>
    <x v="0"/>
    <x v="11"/>
    <x v="5"/>
    <x v="2"/>
    <n v="460.5"/>
    <n v="8"/>
    <n v="3.1"/>
    <x v="1"/>
    <n v="19"/>
    <x v="1"/>
    <s v="3-weeks"/>
    <x v="0"/>
  </r>
  <r>
    <n v="131"/>
    <x v="0"/>
    <x v="3"/>
    <x v="0"/>
    <x v="0"/>
    <n v="1190.8"/>
    <n v="16"/>
    <n v="4.5"/>
    <x v="0"/>
    <n v="20"/>
    <x v="0"/>
    <s v="3-weeks"/>
    <x v="0"/>
  </r>
  <r>
    <n v="132"/>
    <x v="1"/>
    <x v="12"/>
    <x v="1"/>
    <x v="1"/>
    <n v="830.75"/>
    <n v="13"/>
    <n v="4.2"/>
    <x v="1"/>
    <n v="14"/>
    <x v="0"/>
    <s v="2-weeks"/>
    <x v="0"/>
  </r>
  <r>
    <n v="133"/>
    <x v="0"/>
    <x v="13"/>
    <x v="2"/>
    <x v="2"/>
    <n v="520.4"/>
    <n v="9"/>
    <n v="3.5"/>
    <x v="0"/>
    <n v="37"/>
    <x v="2"/>
    <s v="6-weeks"/>
    <x v="1"/>
  </r>
  <r>
    <n v="134"/>
    <x v="1"/>
    <x v="0"/>
    <x v="3"/>
    <x v="0"/>
    <n v="1370.2"/>
    <n v="18"/>
    <n v="4.7"/>
    <x v="1"/>
    <n v="10"/>
    <x v="0"/>
    <s v="2-weeks"/>
    <x v="0"/>
  </r>
  <r>
    <n v="135"/>
    <x v="1"/>
    <x v="14"/>
    <x v="4"/>
    <x v="1"/>
    <n v="690.6"/>
    <n v="12"/>
    <n v="3.9"/>
    <x v="0"/>
    <n v="47"/>
    <x v="2"/>
    <s v="7-weeks"/>
    <x v="1"/>
  </r>
  <r>
    <n v="136"/>
    <x v="0"/>
    <x v="15"/>
    <x v="5"/>
    <x v="2"/>
    <n v="440.9"/>
    <n v="8"/>
    <n v="3.2"/>
    <x v="1"/>
    <n v="24"/>
    <x v="1"/>
    <s v="4-weeks"/>
    <x v="0"/>
  </r>
  <r>
    <n v="137"/>
    <x v="0"/>
    <x v="10"/>
    <x v="0"/>
    <x v="0"/>
    <n v="1160.3"/>
    <n v="14"/>
    <n v="4.4000000000000004"/>
    <x v="0"/>
    <n v="22"/>
    <x v="0"/>
    <s v="4-weeks"/>
    <x v="0"/>
  </r>
  <r>
    <n v="138"/>
    <x v="1"/>
    <x v="1"/>
    <x v="1"/>
    <x v="1"/>
    <n v="800.2"/>
    <n v="11"/>
    <n v="4.0999999999999996"/>
    <x v="1"/>
    <n v="17"/>
    <x v="1"/>
    <s v="3-weeks"/>
    <x v="0"/>
  </r>
  <r>
    <n v="139"/>
    <x v="0"/>
    <x v="2"/>
    <x v="2"/>
    <x v="2"/>
    <n v="500.75"/>
    <n v="10"/>
    <n v="3.3"/>
    <x v="0"/>
    <n v="40"/>
    <x v="2"/>
    <s v="6-weeks"/>
    <x v="1"/>
  </r>
  <r>
    <n v="140"/>
    <x v="1"/>
    <x v="3"/>
    <x v="3"/>
    <x v="0"/>
    <n v="1460.5"/>
    <n v="20"/>
    <n v="4.8"/>
    <x v="1"/>
    <n v="12"/>
    <x v="0"/>
    <s v="2-weeks"/>
    <x v="0"/>
  </r>
  <r>
    <n v="141"/>
    <x v="1"/>
    <x v="4"/>
    <x v="4"/>
    <x v="1"/>
    <n v="700.4"/>
    <n v="13"/>
    <n v="4"/>
    <x v="0"/>
    <n v="53"/>
    <x v="2"/>
    <s v="8-weeks"/>
    <x v="1"/>
  </r>
  <r>
    <n v="142"/>
    <x v="0"/>
    <x v="5"/>
    <x v="5"/>
    <x v="2"/>
    <n v="420.8"/>
    <n v="7"/>
    <n v="3.1"/>
    <x v="1"/>
    <n v="21"/>
    <x v="1"/>
    <s v="3-weeks"/>
    <x v="0"/>
  </r>
  <r>
    <n v="143"/>
    <x v="0"/>
    <x v="6"/>
    <x v="0"/>
    <x v="0"/>
    <n v="1130.5999999999999"/>
    <n v="15"/>
    <n v="4.5"/>
    <x v="0"/>
    <n v="26"/>
    <x v="0"/>
    <s v="4-weeks"/>
    <x v="0"/>
  </r>
  <r>
    <n v="144"/>
    <x v="1"/>
    <x v="7"/>
    <x v="1"/>
    <x v="1"/>
    <n v="820.9"/>
    <n v="12"/>
    <n v="4.3"/>
    <x v="1"/>
    <n v="12"/>
    <x v="1"/>
    <s v="2-weeks"/>
    <x v="0"/>
  </r>
  <r>
    <n v="145"/>
    <x v="0"/>
    <x v="8"/>
    <x v="2"/>
    <x v="2"/>
    <n v="480.25"/>
    <n v="9"/>
    <n v="3.6"/>
    <x v="0"/>
    <n v="38"/>
    <x v="2"/>
    <s v="6-weeks"/>
    <x v="1"/>
  </r>
  <r>
    <n v="146"/>
    <x v="1"/>
    <x v="9"/>
    <x v="3"/>
    <x v="0"/>
    <n v="1490.1"/>
    <n v="21"/>
    <n v="4.9000000000000004"/>
    <x v="1"/>
    <n v="9"/>
    <x v="0"/>
    <s v="2-weeks"/>
    <x v="0"/>
  </r>
  <r>
    <n v="147"/>
    <x v="1"/>
    <x v="10"/>
    <x v="4"/>
    <x v="1"/>
    <n v="680.3"/>
    <n v="10"/>
    <n v="3.8"/>
    <x v="0"/>
    <n v="32"/>
    <x v="2"/>
    <s v="5-weeks"/>
    <x v="1"/>
  </r>
  <r>
    <n v="148"/>
    <x v="0"/>
    <x v="11"/>
    <x v="5"/>
    <x v="2"/>
    <n v="470.5"/>
    <n v="8"/>
    <n v="3"/>
    <x v="1"/>
    <n v="18"/>
    <x v="1"/>
    <s v="3-weeks"/>
    <x v="0"/>
  </r>
  <r>
    <n v="149"/>
    <x v="0"/>
    <x v="3"/>
    <x v="0"/>
    <x v="0"/>
    <n v="1180.8"/>
    <n v="16"/>
    <n v="4.7"/>
    <x v="0"/>
    <n v="19"/>
    <x v="0"/>
    <s v="3-weeks"/>
    <x v="0"/>
  </r>
  <r>
    <n v="150"/>
    <x v="1"/>
    <x v="1"/>
    <x v="1"/>
    <x v="1"/>
    <n v="790.2"/>
    <n v="11"/>
    <n v="4"/>
    <x v="1"/>
    <n v="15"/>
    <x v="1"/>
    <s v="3-weeks"/>
    <x v="0"/>
  </r>
  <r>
    <n v="151"/>
    <x v="0"/>
    <x v="2"/>
    <x v="2"/>
    <x v="2"/>
    <n v="505.75"/>
    <n v="10"/>
    <n v="3.3"/>
    <x v="0"/>
    <n v="39"/>
    <x v="2"/>
    <s v="6-weeks"/>
    <x v="1"/>
  </r>
  <r>
    <n v="152"/>
    <x v="1"/>
    <x v="3"/>
    <x v="3"/>
    <x v="0"/>
    <n v="1470.5"/>
    <n v="20"/>
    <n v="4.8"/>
    <x v="1"/>
    <n v="13"/>
    <x v="0"/>
    <s v="2-weeks"/>
    <x v="0"/>
  </r>
  <r>
    <n v="153"/>
    <x v="1"/>
    <x v="4"/>
    <x v="4"/>
    <x v="1"/>
    <n v="710.4"/>
    <n v="13"/>
    <n v="4.0999999999999996"/>
    <x v="0"/>
    <n v="54"/>
    <x v="2"/>
    <s v="8-weeks"/>
    <x v="1"/>
  </r>
  <r>
    <n v="154"/>
    <x v="0"/>
    <x v="5"/>
    <x v="5"/>
    <x v="2"/>
    <n v="430.8"/>
    <n v="7"/>
    <n v="3.4"/>
    <x v="1"/>
    <n v="23"/>
    <x v="1"/>
    <s v="4-weeks"/>
    <x v="0"/>
  </r>
  <r>
    <n v="155"/>
    <x v="0"/>
    <x v="6"/>
    <x v="0"/>
    <x v="0"/>
    <n v="1140.5999999999999"/>
    <n v="15"/>
    <n v="4.5999999999999996"/>
    <x v="0"/>
    <n v="27"/>
    <x v="0"/>
    <s v="4-weeks"/>
    <x v="0"/>
  </r>
  <r>
    <n v="156"/>
    <x v="1"/>
    <x v="7"/>
    <x v="1"/>
    <x v="1"/>
    <n v="810.9"/>
    <n v="12"/>
    <n v="4.3"/>
    <x v="1"/>
    <n v="13"/>
    <x v="1"/>
    <s v="2-weeks"/>
    <x v="0"/>
  </r>
  <r>
    <n v="157"/>
    <x v="0"/>
    <x v="8"/>
    <x v="2"/>
    <x v="2"/>
    <n v="485.25"/>
    <n v="9"/>
    <n v="3.6"/>
    <x v="0"/>
    <n v="39"/>
    <x v="2"/>
    <s v="6-weeks"/>
    <x v="1"/>
  </r>
  <r>
    <n v="158"/>
    <x v="1"/>
    <x v="9"/>
    <x v="3"/>
    <x v="0"/>
    <n v="1500.1"/>
    <n v="21"/>
    <n v="4.9000000000000004"/>
    <x v="1"/>
    <n v="10"/>
    <x v="0"/>
    <s v="2-weeks"/>
    <x v="0"/>
  </r>
  <r>
    <n v="159"/>
    <x v="1"/>
    <x v="10"/>
    <x v="4"/>
    <x v="1"/>
    <n v="670.3"/>
    <n v="10"/>
    <n v="3.8"/>
    <x v="0"/>
    <n v="33"/>
    <x v="2"/>
    <s v="5-weeks"/>
    <x v="1"/>
  </r>
  <r>
    <n v="160"/>
    <x v="0"/>
    <x v="11"/>
    <x v="5"/>
    <x v="2"/>
    <n v="460.5"/>
    <n v="8"/>
    <n v="3.1"/>
    <x v="1"/>
    <n v="19"/>
    <x v="1"/>
    <s v="3-weeks"/>
    <x v="0"/>
  </r>
  <r>
    <n v="161"/>
    <x v="0"/>
    <x v="3"/>
    <x v="0"/>
    <x v="0"/>
    <n v="1190.8"/>
    <n v="16"/>
    <n v="4.5"/>
    <x v="0"/>
    <n v="20"/>
    <x v="0"/>
    <s v="3-weeks"/>
    <x v="0"/>
  </r>
  <r>
    <n v="162"/>
    <x v="1"/>
    <x v="12"/>
    <x v="1"/>
    <x v="1"/>
    <n v="830.75"/>
    <n v="13"/>
    <n v="4.2"/>
    <x v="1"/>
    <n v="14"/>
    <x v="0"/>
    <s v="2-weeks"/>
    <x v="0"/>
  </r>
  <r>
    <n v="163"/>
    <x v="0"/>
    <x v="13"/>
    <x v="2"/>
    <x v="2"/>
    <n v="520.4"/>
    <n v="9"/>
    <n v="3.5"/>
    <x v="0"/>
    <n v="37"/>
    <x v="2"/>
    <s v="6-weeks"/>
    <x v="1"/>
  </r>
  <r>
    <n v="164"/>
    <x v="1"/>
    <x v="0"/>
    <x v="3"/>
    <x v="0"/>
    <n v="1370.2"/>
    <n v="18"/>
    <n v="4.7"/>
    <x v="1"/>
    <n v="10"/>
    <x v="0"/>
    <s v="2-weeks"/>
    <x v="0"/>
  </r>
  <r>
    <n v="165"/>
    <x v="1"/>
    <x v="14"/>
    <x v="4"/>
    <x v="1"/>
    <n v="690.6"/>
    <n v="12"/>
    <n v="3.9"/>
    <x v="0"/>
    <n v="47"/>
    <x v="2"/>
    <s v="7-weeks"/>
    <x v="1"/>
  </r>
  <r>
    <n v="166"/>
    <x v="0"/>
    <x v="15"/>
    <x v="5"/>
    <x v="2"/>
    <n v="440.9"/>
    <n v="8"/>
    <n v="3.2"/>
    <x v="1"/>
    <n v="24"/>
    <x v="1"/>
    <s v="4-weeks"/>
    <x v="0"/>
  </r>
  <r>
    <n v="167"/>
    <x v="0"/>
    <x v="10"/>
    <x v="0"/>
    <x v="0"/>
    <n v="1160.3"/>
    <n v="14"/>
    <n v="4.4000000000000004"/>
    <x v="0"/>
    <n v="22"/>
    <x v="0"/>
    <s v="4-weeks"/>
    <x v="0"/>
  </r>
  <r>
    <n v="168"/>
    <x v="1"/>
    <x v="1"/>
    <x v="1"/>
    <x v="1"/>
    <n v="800.2"/>
    <n v="11"/>
    <n v="4.0999999999999996"/>
    <x v="1"/>
    <n v="17"/>
    <x v="1"/>
    <s v="3-weeks"/>
    <x v="0"/>
  </r>
  <r>
    <n v="169"/>
    <x v="0"/>
    <x v="2"/>
    <x v="2"/>
    <x v="2"/>
    <n v="500.75"/>
    <n v="10"/>
    <n v="3.3"/>
    <x v="0"/>
    <n v="40"/>
    <x v="2"/>
    <s v="6-weeks"/>
    <x v="1"/>
  </r>
  <r>
    <n v="170"/>
    <x v="1"/>
    <x v="3"/>
    <x v="3"/>
    <x v="0"/>
    <n v="1460.5"/>
    <n v="20"/>
    <n v="4.8"/>
    <x v="1"/>
    <n v="12"/>
    <x v="0"/>
    <s v="2-weeks"/>
    <x v="0"/>
  </r>
  <r>
    <n v="171"/>
    <x v="1"/>
    <x v="4"/>
    <x v="4"/>
    <x v="1"/>
    <n v="700.4"/>
    <n v="13"/>
    <n v="4"/>
    <x v="0"/>
    <n v="53"/>
    <x v="2"/>
    <s v="8-weeks"/>
    <x v="1"/>
  </r>
  <r>
    <n v="172"/>
    <x v="0"/>
    <x v="5"/>
    <x v="5"/>
    <x v="2"/>
    <n v="420.8"/>
    <n v="7"/>
    <n v="3.1"/>
    <x v="1"/>
    <n v="21"/>
    <x v="1"/>
    <s v="3-weeks"/>
    <x v="0"/>
  </r>
  <r>
    <n v="173"/>
    <x v="0"/>
    <x v="6"/>
    <x v="0"/>
    <x v="0"/>
    <n v="1130.5999999999999"/>
    <n v="15"/>
    <n v="4.5"/>
    <x v="0"/>
    <n v="26"/>
    <x v="0"/>
    <s v="4-weeks"/>
    <x v="0"/>
  </r>
  <r>
    <n v="174"/>
    <x v="1"/>
    <x v="7"/>
    <x v="1"/>
    <x v="1"/>
    <n v="820.9"/>
    <n v="12"/>
    <n v="4.3"/>
    <x v="1"/>
    <n v="12"/>
    <x v="1"/>
    <s v="2-weeks"/>
    <x v="0"/>
  </r>
  <r>
    <n v="175"/>
    <x v="0"/>
    <x v="8"/>
    <x v="2"/>
    <x v="2"/>
    <n v="480.25"/>
    <n v="9"/>
    <n v="3.6"/>
    <x v="0"/>
    <n v="38"/>
    <x v="2"/>
    <s v="6-weeks"/>
    <x v="1"/>
  </r>
  <r>
    <n v="176"/>
    <x v="1"/>
    <x v="9"/>
    <x v="3"/>
    <x v="0"/>
    <n v="1490.1"/>
    <n v="21"/>
    <n v="4.9000000000000004"/>
    <x v="1"/>
    <n v="9"/>
    <x v="0"/>
    <s v="2-weeks"/>
    <x v="0"/>
  </r>
  <r>
    <n v="177"/>
    <x v="1"/>
    <x v="10"/>
    <x v="4"/>
    <x v="1"/>
    <n v="680.3"/>
    <n v="10"/>
    <n v="3.8"/>
    <x v="0"/>
    <n v="32"/>
    <x v="2"/>
    <s v="5-weeks"/>
    <x v="1"/>
  </r>
  <r>
    <n v="178"/>
    <x v="0"/>
    <x v="11"/>
    <x v="5"/>
    <x v="2"/>
    <n v="470.5"/>
    <n v="8"/>
    <n v="3"/>
    <x v="1"/>
    <n v="18"/>
    <x v="1"/>
    <s v="3-weeks"/>
    <x v="0"/>
  </r>
  <r>
    <n v="179"/>
    <x v="0"/>
    <x v="3"/>
    <x v="0"/>
    <x v="0"/>
    <n v="1180.8"/>
    <n v="16"/>
    <n v="4.7"/>
    <x v="0"/>
    <n v="19"/>
    <x v="0"/>
    <s v="3-weeks"/>
    <x v="0"/>
  </r>
  <r>
    <n v="180"/>
    <x v="1"/>
    <x v="1"/>
    <x v="1"/>
    <x v="1"/>
    <n v="790.2"/>
    <n v="11"/>
    <n v="4"/>
    <x v="1"/>
    <n v="15"/>
    <x v="1"/>
    <s v="3-weeks"/>
    <x v="0"/>
  </r>
  <r>
    <n v="181"/>
    <x v="0"/>
    <x v="2"/>
    <x v="2"/>
    <x v="2"/>
    <n v="505.75"/>
    <n v="10"/>
    <n v="3.3"/>
    <x v="0"/>
    <n v="39"/>
    <x v="2"/>
    <s v="6-weeks"/>
    <x v="1"/>
  </r>
  <r>
    <n v="182"/>
    <x v="1"/>
    <x v="3"/>
    <x v="3"/>
    <x v="0"/>
    <n v="1470.5"/>
    <n v="20"/>
    <n v="4.8"/>
    <x v="1"/>
    <n v="13"/>
    <x v="0"/>
    <s v="2-weeks"/>
    <x v="0"/>
  </r>
  <r>
    <n v="183"/>
    <x v="1"/>
    <x v="4"/>
    <x v="4"/>
    <x v="1"/>
    <n v="710.4"/>
    <n v="13"/>
    <n v="4.0999999999999996"/>
    <x v="0"/>
    <n v="54"/>
    <x v="2"/>
    <s v="8-weeks"/>
    <x v="1"/>
  </r>
  <r>
    <n v="184"/>
    <x v="0"/>
    <x v="5"/>
    <x v="5"/>
    <x v="2"/>
    <n v="430.8"/>
    <n v="7"/>
    <n v="3.4"/>
    <x v="1"/>
    <n v="23"/>
    <x v="1"/>
    <s v="4-weeks"/>
    <x v="0"/>
  </r>
  <r>
    <n v="185"/>
    <x v="0"/>
    <x v="6"/>
    <x v="0"/>
    <x v="0"/>
    <n v="1140.5999999999999"/>
    <n v="15"/>
    <n v="4.5999999999999996"/>
    <x v="0"/>
    <n v="27"/>
    <x v="0"/>
    <s v="4-weeks"/>
    <x v="0"/>
  </r>
  <r>
    <n v="186"/>
    <x v="1"/>
    <x v="7"/>
    <x v="1"/>
    <x v="1"/>
    <n v="810.9"/>
    <n v="12"/>
    <n v="4.3"/>
    <x v="1"/>
    <n v="13"/>
    <x v="1"/>
    <s v="2-weeks"/>
    <x v="0"/>
  </r>
  <r>
    <n v="187"/>
    <x v="0"/>
    <x v="8"/>
    <x v="2"/>
    <x v="2"/>
    <n v="485.25"/>
    <n v="9"/>
    <n v="3.6"/>
    <x v="0"/>
    <n v="39"/>
    <x v="2"/>
    <s v="6-weeks"/>
    <x v="1"/>
  </r>
  <r>
    <n v="188"/>
    <x v="1"/>
    <x v="9"/>
    <x v="3"/>
    <x v="0"/>
    <n v="1500.1"/>
    <n v="21"/>
    <n v="4.9000000000000004"/>
    <x v="1"/>
    <n v="10"/>
    <x v="0"/>
    <s v="2-weeks"/>
    <x v="0"/>
  </r>
  <r>
    <n v="189"/>
    <x v="1"/>
    <x v="10"/>
    <x v="4"/>
    <x v="1"/>
    <n v="670.3"/>
    <n v="10"/>
    <n v="3.8"/>
    <x v="0"/>
    <n v="33"/>
    <x v="2"/>
    <s v="5-weeks"/>
    <x v="1"/>
  </r>
  <r>
    <n v="190"/>
    <x v="0"/>
    <x v="11"/>
    <x v="5"/>
    <x v="2"/>
    <n v="460.5"/>
    <n v="8"/>
    <n v="3.1"/>
    <x v="1"/>
    <n v="19"/>
    <x v="1"/>
    <s v="3-weeks"/>
    <x v="0"/>
  </r>
  <r>
    <n v="191"/>
    <x v="0"/>
    <x v="3"/>
    <x v="0"/>
    <x v="0"/>
    <n v="1190.8"/>
    <n v="16"/>
    <n v="4.5"/>
    <x v="0"/>
    <n v="20"/>
    <x v="0"/>
    <s v="3-weeks"/>
    <x v="0"/>
  </r>
  <r>
    <n v="192"/>
    <x v="1"/>
    <x v="12"/>
    <x v="1"/>
    <x v="1"/>
    <n v="830.75"/>
    <n v="13"/>
    <n v="4.2"/>
    <x v="1"/>
    <n v="14"/>
    <x v="0"/>
    <s v="2-weeks"/>
    <x v="0"/>
  </r>
  <r>
    <n v="193"/>
    <x v="0"/>
    <x v="13"/>
    <x v="2"/>
    <x v="2"/>
    <n v="520.4"/>
    <n v="9"/>
    <n v="3.5"/>
    <x v="0"/>
    <n v="37"/>
    <x v="2"/>
    <s v="6-weeks"/>
    <x v="1"/>
  </r>
  <r>
    <n v="194"/>
    <x v="1"/>
    <x v="0"/>
    <x v="3"/>
    <x v="0"/>
    <n v="1370.2"/>
    <n v="18"/>
    <n v="4.7"/>
    <x v="1"/>
    <n v="10"/>
    <x v="0"/>
    <s v="2-weeks"/>
    <x v="0"/>
  </r>
  <r>
    <n v="195"/>
    <x v="1"/>
    <x v="14"/>
    <x v="4"/>
    <x v="1"/>
    <n v="690.6"/>
    <n v="12"/>
    <n v="3.9"/>
    <x v="0"/>
    <n v="47"/>
    <x v="2"/>
    <s v="7-weeks"/>
    <x v="1"/>
  </r>
  <r>
    <n v="196"/>
    <x v="0"/>
    <x v="15"/>
    <x v="5"/>
    <x v="2"/>
    <n v="440.9"/>
    <n v="8"/>
    <n v="3.2"/>
    <x v="1"/>
    <n v="24"/>
    <x v="1"/>
    <s v="4-weeks"/>
    <x v="0"/>
  </r>
  <r>
    <n v="197"/>
    <x v="0"/>
    <x v="10"/>
    <x v="0"/>
    <x v="0"/>
    <n v="1160.3"/>
    <n v="14"/>
    <n v="4.4000000000000004"/>
    <x v="0"/>
    <n v="22"/>
    <x v="0"/>
    <s v="4-weeks"/>
    <x v="0"/>
  </r>
  <r>
    <n v="198"/>
    <x v="1"/>
    <x v="1"/>
    <x v="1"/>
    <x v="1"/>
    <n v="800.2"/>
    <n v="11"/>
    <n v="4.0999999999999996"/>
    <x v="1"/>
    <n v="17"/>
    <x v="1"/>
    <s v="3-weeks"/>
    <x v="0"/>
  </r>
  <r>
    <n v="199"/>
    <x v="0"/>
    <x v="2"/>
    <x v="2"/>
    <x v="2"/>
    <n v="500.75"/>
    <n v="10"/>
    <n v="3.3"/>
    <x v="0"/>
    <n v="40"/>
    <x v="2"/>
    <s v="6-weeks"/>
    <x v="1"/>
  </r>
  <r>
    <n v="200"/>
    <x v="1"/>
    <x v="3"/>
    <x v="3"/>
    <x v="0"/>
    <n v="1460.5"/>
    <n v="20"/>
    <n v="4.8"/>
    <x v="1"/>
    <n v="12"/>
    <x v="0"/>
    <s v="2-weeks"/>
    <x v="0"/>
  </r>
  <r>
    <n v="201"/>
    <x v="1"/>
    <x v="4"/>
    <x v="4"/>
    <x v="1"/>
    <n v="700.4"/>
    <n v="13"/>
    <n v="4"/>
    <x v="0"/>
    <n v="53"/>
    <x v="2"/>
    <s v="8-weeks"/>
    <x v="1"/>
  </r>
  <r>
    <n v="202"/>
    <x v="0"/>
    <x v="5"/>
    <x v="5"/>
    <x v="2"/>
    <n v="420.8"/>
    <n v="7"/>
    <n v="3.1"/>
    <x v="1"/>
    <n v="21"/>
    <x v="1"/>
    <s v="3-weeks"/>
    <x v="0"/>
  </r>
  <r>
    <n v="203"/>
    <x v="0"/>
    <x v="6"/>
    <x v="0"/>
    <x v="0"/>
    <n v="1130.5999999999999"/>
    <n v="15"/>
    <n v="4.5"/>
    <x v="0"/>
    <n v="26"/>
    <x v="0"/>
    <s v="4-weeks"/>
    <x v="0"/>
  </r>
  <r>
    <n v="204"/>
    <x v="1"/>
    <x v="7"/>
    <x v="1"/>
    <x v="1"/>
    <n v="820.9"/>
    <n v="12"/>
    <n v="4.3"/>
    <x v="1"/>
    <n v="12"/>
    <x v="1"/>
    <s v="2-weeks"/>
    <x v="0"/>
  </r>
  <r>
    <n v="205"/>
    <x v="0"/>
    <x v="8"/>
    <x v="2"/>
    <x v="2"/>
    <n v="480.25"/>
    <n v="9"/>
    <n v="3.6"/>
    <x v="0"/>
    <n v="38"/>
    <x v="2"/>
    <s v="6-weeks"/>
    <x v="1"/>
  </r>
  <r>
    <n v="206"/>
    <x v="1"/>
    <x v="9"/>
    <x v="3"/>
    <x v="0"/>
    <n v="1490.1"/>
    <n v="21"/>
    <n v="4.9000000000000004"/>
    <x v="1"/>
    <n v="9"/>
    <x v="0"/>
    <s v="2-weeks"/>
    <x v="0"/>
  </r>
  <r>
    <n v="207"/>
    <x v="1"/>
    <x v="10"/>
    <x v="4"/>
    <x v="1"/>
    <n v="680.3"/>
    <n v="10"/>
    <n v="3.8"/>
    <x v="0"/>
    <n v="32"/>
    <x v="2"/>
    <s v="5-weeks"/>
    <x v="1"/>
  </r>
  <r>
    <n v="208"/>
    <x v="0"/>
    <x v="11"/>
    <x v="5"/>
    <x v="2"/>
    <n v="470.5"/>
    <n v="8"/>
    <n v="3"/>
    <x v="1"/>
    <n v="18"/>
    <x v="1"/>
    <s v="3-weeks"/>
    <x v="0"/>
  </r>
  <r>
    <n v="209"/>
    <x v="0"/>
    <x v="3"/>
    <x v="0"/>
    <x v="0"/>
    <n v="1180.8"/>
    <n v="16"/>
    <n v="4.7"/>
    <x v="0"/>
    <n v="19"/>
    <x v="0"/>
    <s v="3-weeks"/>
    <x v="0"/>
  </r>
  <r>
    <n v="210"/>
    <x v="1"/>
    <x v="1"/>
    <x v="1"/>
    <x v="1"/>
    <n v="790.2"/>
    <n v="11"/>
    <n v="4"/>
    <x v="1"/>
    <n v="15"/>
    <x v="1"/>
    <s v="3-weeks"/>
    <x v="0"/>
  </r>
  <r>
    <n v="211"/>
    <x v="0"/>
    <x v="2"/>
    <x v="2"/>
    <x v="2"/>
    <n v="505.75"/>
    <n v="10"/>
    <n v="3.3"/>
    <x v="0"/>
    <n v="39"/>
    <x v="2"/>
    <s v="6-weeks"/>
    <x v="1"/>
  </r>
  <r>
    <n v="212"/>
    <x v="1"/>
    <x v="3"/>
    <x v="3"/>
    <x v="0"/>
    <n v="1470.5"/>
    <n v="20"/>
    <n v="4.8"/>
    <x v="1"/>
    <n v="13"/>
    <x v="0"/>
    <s v="2-weeks"/>
    <x v="0"/>
  </r>
  <r>
    <n v="213"/>
    <x v="1"/>
    <x v="4"/>
    <x v="4"/>
    <x v="1"/>
    <n v="710.4"/>
    <n v="13"/>
    <n v="4.0999999999999996"/>
    <x v="0"/>
    <n v="54"/>
    <x v="2"/>
    <s v="8-weeks"/>
    <x v="1"/>
  </r>
  <r>
    <n v="214"/>
    <x v="0"/>
    <x v="5"/>
    <x v="5"/>
    <x v="2"/>
    <n v="430.8"/>
    <n v="7"/>
    <n v="3.4"/>
    <x v="1"/>
    <n v="23"/>
    <x v="1"/>
    <s v="4-weeks"/>
    <x v="0"/>
  </r>
  <r>
    <n v="215"/>
    <x v="0"/>
    <x v="6"/>
    <x v="0"/>
    <x v="0"/>
    <n v="1140.5999999999999"/>
    <n v="15"/>
    <n v="4.5999999999999996"/>
    <x v="0"/>
    <n v="27"/>
    <x v="0"/>
    <s v="4-weeks"/>
    <x v="0"/>
  </r>
  <r>
    <n v="216"/>
    <x v="1"/>
    <x v="7"/>
    <x v="1"/>
    <x v="1"/>
    <n v="810.9"/>
    <n v="12"/>
    <n v="4.3"/>
    <x v="1"/>
    <n v="13"/>
    <x v="1"/>
    <s v="2-weeks"/>
    <x v="0"/>
  </r>
  <r>
    <n v="217"/>
    <x v="0"/>
    <x v="8"/>
    <x v="2"/>
    <x v="2"/>
    <n v="485.25"/>
    <n v="9"/>
    <n v="3.6"/>
    <x v="0"/>
    <n v="39"/>
    <x v="2"/>
    <s v="6-weeks"/>
    <x v="1"/>
  </r>
  <r>
    <n v="218"/>
    <x v="1"/>
    <x v="9"/>
    <x v="3"/>
    <x v="0"/>
    <n v="1500.1"/>
    <n v="21"/>
    <n v="4.9000000000000004"/>
    <x v="1"/>
    <n v="10"/>
    <x v="0"/>
    <s v="2-weeks"/>
    <x v="0"/>
  </r>
  <r>
    <n v="219"/>
    <x v="1"/>
    <x v="10"/>
    <x v="4"/>
    <x v="1"/>
    <n v="670.3"/>
    <n v="10"/>
    <n v="3.8"/>
    <x v="0"/>
    <n v="33"/>
    <x v="2"/>
    <s v="5-weeks"/>
    <x v="1"/>
  </r>
  <r>
    <n v="220"/>
    <x v="0"/>
    <x v="11"/>
    <x v="5"/>
    <x v="2"/>
    <n v="460.5"/>
    <n v="8"/>
    <n v="3.1"/>
    <x v="1"/>
    <n v="19"/>
    <x v="1"/>
    <s v="3-weeks"/>
    <x v="0"/>
  </r>
  <r>
    <n v="221"/>
    <x v="0"/>
    <x v="3"/>
    <x v="0"/>
    <x v="0"/>
    <n v="1190.8"/>
    <n v="16"/>
    <n v="4.5"/>
    <x v="0"/>
    <n v="20"/>
    <x v="0"/>
    <s v="3-weeks"/>
    <x v="0"/>
  </r>
  <r>
    <n v="222"/>
    <x v="1"/>
    <x v="12"/>
    <x v="1"/>
    <x v="1"/>
    <n v="830.75"/>
    <n v="13"/>
    <n v="4.2"/>
    <x v="1"/>
    <n v="14"/>
    <x v="0"/>
    <s v="2-weeks"/>
    <x v="0"/>
  </r>
  <r>
    <n v="223"/>
    <x v="0"/>
    <x v="13"/>
    <x v="2"/>
    <x v="2"/>
    <n v="520.4"/>
    <n v="9"/>
    <n v="3.5"/>
    <x v="0"/>
    <n v="37"/>
    <x v="2"/>
    <s v="6-weeks"/>
    <x v="1"/>
  </r>
  <r>
    <n v="224"/>
    <x v="1"/>
    <x v="0"/>
    <x v="3"/>
    <x v="0"/>
    <n v="1370.2"/>
    <n v="18"/>
    <n v="4.7"/>
    <x v="1"/>
    <n v="10"/>
    <x v="0"/>
    <s v="2-weeks"/>
    <x v="0"/>
  </r>
  <r>
    <n v="225"/>
    <x v="1"/>
    <x v="14"/>
    <x v="4"/>
    <x v="1"/>
    <n v="690.6"/>
    <n v="12"/>
    <n v="3.9"/>
    <x v="0"/>
    <n v="47"/>
    <x v="2"/>
    <s v="7-weeks"/>
    <x v="1"/>
  </r>
  <r>
    <n v="226"/>
    <x v="0"/>
    <x v="15"/>
    <x v="5"/>
    <x v="2"/>
    <n v="440.9"/>
    <n v="8"/>
    <n v="3.2"/>
    <x v="1"/>
    <n v="24"/>
    <x v="1"/>
    <s v="4-weeks"/>
    <x v="0"/>
  </r>
  <r>
    <n v="227"/>
    <x v="0"/>
    <x v="10"/>
    <x v="0"/>
    <x v="0"/>
    <n v="1160.3"/>
    <n v="14"/>
    <n v="4.4000000000000004"/>
    <x v="0"/>
    <n v="22"/>
    <x v="0"/>
    <s v="4-weeks"/>
    <x v="0"/>
  </r>
  <r>
    <n v="228"/>
    <x v="1"/>
    <x v="1"/>
    <x v="1"/>
    <x v="1"/>
    <n v="800.2"/>
    <n v="11"/>
    <n v="4.0999999999999996"/>
    <x v="1"/>
    <n v="17"/>
    <x v="1"/>
    <s v="3-weeks"/>
    <x v="0"/>
  </r>
  <r>
    <n v="229"/>
    <x v="0"/>
    <x v="2"/>
    <x v="2"/>
    <x v="2"/>
    <n v="500.75"/>
    <n v="10"/>
    <n v="3.3"/>
    <x v="0"/>
    <n v="40"/>
    <x v="2"/>
    <s v="6-weeks"/>
    <x v="1"/>
  </r>
  <r>
    <n v="230"/>
    <x v="1"/>
    <x v="3"/>
    <x v="3"/>
    <x v="0"/>
    <n v="1460.5"/>
    <n v="20"/>
    <n v="4.8"/>
    <x v="1"/>
    <n v="12"/>
    <x v="0"/>
    <s v="2-weeks"/>
    <x v="0"/>
  </r>
  <r>
    <n v="231"/>
    <x v="1"/>
    <x v="4"/>
    <x v="4"/>
    <x v="1"/>
    <n v="700.4"/>
    <n v="13"/>
    <n v="4"/>
    <x v="0"/>
    <n v="53"/>
    <x v="2"/>
    <s v="8-weeks"/>
    <x v="1"/>
  </r>
  <r>
    <n v="232"/>
    <x v="0"/>
    <x v="5"/>
    <x v="5"/>
    <x v="2"/>
    <n v="420.8"/>
    <n v="7"/>
    <n v="3.1"/>
    <x v="1"/>
    <n v="21"/>
    <x v="1"/>
    <s v="3-weeks"/>
    <x v="0"/>
  </r>
  <r>
    <n v="233"/>
    <x v="0"/>
    <x v="6"/>
    <x v="0"/>
    <x v="0"/>
    <n v="1130.5999999999999"/>
    <n v="15"/>
    <n v="4.5"/>
    <x v="0"/>
    <n v="26"/>
    <x v="0"/>
    <s v="4-weeks"/>
    <x v="0"/>
  </r>
  <r>
    <n v="234"/>
    <x v="1"/>
    <x v="7"/>
    <x v="1"/>
    <x v="1"/>
    <n v="820.9"/>
    <n v="12"/>
    <n v="4.3"/>
    <x v="1"/>
    <n v="12"/>
    <x v="1"/>
    <s v="2-weeks"/>
    <x v="0"/>
  </r>
  <r>
    <n v="235"/>
    <x v="0"/>
    <x v="8"/>
    <x v="2"/>
    <x v="2"/>
    <n v="480.25"/>
    <n v="9"/>
    <n v="3.6"/>
    <x v="0"/>
    <n v="38"/>
    <x v="2"/>
    <s v="6-weeks"/>
    <x v="1"/>
  </r>
  <r>
    <n v="236"/>
    <x v="1"/>
    <x v="9"/>
    <x v="3"/>
    <x v="0"/>
    <n v="1490.1"/>
    <n v="21"/>
    <n v="4.9000000000000004"/>
    <x v="1"/>
    <n v="9"/>
    <x v="0"/>
    <s v="2-weeks"/>
    <x v="0"/>
  </r>
  <r>
    <n v="237"/>
    <x v="1"/>
    <x v="10"/>
    <x v="4"/>
    <x v="1"/>
    <n v="680.3"/>
    <n v="10"/>
    <n v="3.8"/>
    <x v="0"/>
    <n v="32"/>
    <x v="2"/>
    <s v="5-weeks"/>
    <x v="1"/>
  </r>
  <r>
    <n v="238"/>
    <x v="0"/>
    <x v="11"/>
    <x v="5"/>
    <x v="2"/>
    <n v="470.5"/>
    <n v="8"/>
    <n v="3"/>
    <x v="1"/>
    <n v="18"/>
    <x v="1"/>
    <s v="3-weeks"/>
    <x v="0"/>
  </r>
  <r>
    <n v="239"/>
    <x v="0"/>
    <x v="3"/>
    <x v="0"/>
    <x v="0"/>
    <n v="1180.8"/>
    <n v="16"/>
    <n v="4.7"/>
    <x v="0"/>
    <n v="19"/>
    <x v="0"/>
    <s v="3-weeks"/>
    <x v="0"/>
  </r>
  <r>
    <n v="240"/>
    <x v="1"/>
    <x v="1"/>
    <x v="1"/>
    <x v="1"/>
    <n v="790.2"/>
    <n v="11"/>
    <n v="4"/>
    <x v="1"/>
    <n v="15"/>
    <x v="1"/>
    <s v="3-weeks"/>
    <x v="0"/>
  </r>
  <r>
    <n v="241"/>
    <x v="0"/>
    <x v="2"/>
    <x v="2"/>
    <x v="2"/>
    <n v="505.75"/>
    <n v="10"/>
    <n v="3.3"/>
    <x v="0"/>
    <n v="39"/>
    <x v="2"/>
    <s v="6-weeks"/>
    <x v="1"/>
  </r>
  <r>
    <n v="242"/>
    <x v="1"/>
    <x v="3"/>
    <x v="3"/>
    <x v="0"/>
    <n v="1470.5"/>
    <n v="20"/>
    <n v="4.8"/>
    <x v="1"/>
    <n v="13"/>
    <x v="0"/>
    <s v="2-weeks"/>
    <x v="0"/>
  </r>
  <r>
    <n v="243"/>
    <x v="1"/>
    <x v="4"/>
    <x v="4"/>
    <x v="1"/>
    <n v="710.4"/>
    <n v="13"/>
    <n v="4.0999999999999996"/>
    <x v="0"/>
    <n v="54"/>
    <x v="2"/>
    <s v="8-weeks"/>
    <x v="1"/>
  </r>
  <r>
    <n v="244"/>
    <x v="0"/>
    <x v="5"/>
    <x v="5"/>
    <x v="2"/>
    <n v="430.8"/>
    <n v="7"/>
    <n v="3.4"/>
    <x v="1"/>
    <n v="23"/>
    <x v="1"/>
    <s v="4-weeks"/>
    <x v="0"/>
  </r>
  <r>
    <n v="245"/>
    <x v="0"/>
    <x v="6"/>
    <x v="0"/>
    <x v="0"/>
    <n v="1130.5999999999999"/>
    <n v="15"/>
    <n v="4.5"/>
    <x v="0"/>
    <n v="26"/>
    <x v="0"/>
    <s v="4-weeks"/>
    <x v="0"/>
  </r>
  <r>
    <n v="246"/>
    <x v="1"/>
    <x v="7"/>
    <x v="1"/>
    <x v="1"/>
    <n v="820.9"/>
    <n v="12"/>
    <n v="4.3"/>
    <x v="1"/>
    <n v="12"/>
    <x v="1"/>
    <s v="2-weeks"/>
    <x v="0"/>
  </r>
  <r>
    <n v="247"/>
    <x v="0"/>
    <x v="8"/>
    <x v="2"/>
    <x v="2"/>
    <n v="480.25"/>
    <n v="9"/>
    <n v="3.6"/>
    <x v="0"/>
    <n v="38"/>
    <x v="2"/>
    <s v="6-weeks"/>
    <x v="1"/>
  </r>
  <r>
    <n v="248"/>
    <x v="1"/>
    <x v="9"/>
    <x v="3"/>
    <x v="0"/>
    <n v="1490.1"/>
    <n v="21"/>
    <n v="4.9000000000000004"/>
    <x v="1"/>
    <n v="9"/>
    <x v="0"/>
    <s v="2-weeks"/>
    <x v="0"/>
  </r>
  <r>
    <n v="249"/>
    <x v="1"/>
    <x v="10"/>
    <x v="4"/>
    <x v="1"/>
    <n v="680.3"/>
    <n v="10"/>
    <n v="3.8"/>
    <x v="0"/>
    <n v="32"/>
    <x v="2"/>
    <s v="5-weeks"/>
    <x v="1"/>
  </r>
  <r>
    <n v="250"/>
    <x v="0"/>
    <x v="11"/>
    <x v="5"/>
    <x v="2"/>
    <n v="470.5"/>
    <n v="8"/>
    <n v="3"/>
    <x v="1"/>
    <n v="18"/>
    <x v="1"/>
    <s v="3-weeks"/>
    <x v="0"/>
  </r>
  <r>
    <n v="251"/>
    <x v="0"/>
    <x v="3"/>
    <x v="0"/>
    <x v="0"/>
    <n v="1180.8"/>
    <n v="16"/>
    <n v="4.7"/>
    <x v="0"/>
    <n v="19"/>
    <x v="0"/>
    <s v="3-weeks"/>
    <x v="0"/>
  </r>
  <r>
    <n v="252"/>
    <x v="1"/>
    <x v="1"/>
    <x v="1"/>
    <x v="1"/>
    <n v="790.2"/>
    <n v="11"/>
    <n v="4"/>
    <x v="1"/>
    <n v="15"/>
    <x v="1"/>
    <s v="3-weeks"/>
    <x v="0"/>
  </r>
  <r>
    <n v="253"/>
    <x v="0"/>
    <x v="2"/>
    <x v="2"/>
    <x v="2"/>
    <n v="505.75"/>
    <n v="10"/>
    <n v="3.3"/>
    <x v="0"/>
    <n v="39"/>
    <x v="2"/>
    <s v="6-weeks"/>
    <x v="1"/>
  </r>
  <r>
    <n v="254"/>
    <x v="1"/>
    <x v="3"/>
    <x v="3"/>
    <x v="0"/>
    <n v="1470.5"/>
    <n v="20"/>
    <n v="4.8"/>
    <x v="1"/>
    <n v="13"/>
    <x v="0"/>
    <s v="2-weeks"/>
    <x v="0"/>
  </r>
  <r>
    <n v="255"/>
    <x v="1"/>
    <x v="4"/>
    <x v="4"/>
    <x v="1"/>
    <n v="710.4"/>
    <n v="13"/>
    <n v="4.0999999999999996"/>
    <x v="0"/>
    <n v="54"/>
    <x v="2"/>
    <s v="8-weeks"/>
    <x v="1"/>
  </r>
  <r>
    <n v="256"/>
    <x v="0"/>
    <x v="5"/>
    <x v="5"/>
    <x v="2"/>
    <n v="430.8"/>
    <n v="7"/>
    <n v="3.4"/>
    <x v="1"/>
    <n v="23"/>
    <x v="1"/>
    <s v="4-weeks"/>
    <x v="0"/>
  </r>
  <r>
    <n v="257"/>
    <x v="0"/>
    <x v="6"/>
    <x v="0"/>
    <x v="0"/>
    <n v="1140.5999999999999"/>
    <n v="15"/>
    <n v="4.5999999999999996"/>
    <x v="0"/>
    <n v="27"/>
    <x v="0"/>
    <s v="4-weeks"/>
    <x v="0"/>
  </r>
  <r>
    <n v="258"/>
    <x v="1"/>
    <x v="7"/>
    <x v="1"/>
    <x v="1"/>
    <n v="810.9"/>
    <n v="12"/>
    <n v="4.3"/>
    <x v="1"/>
    <n v="13"/>
    <x v="1"/>
    <s v="2-weeks"/>
    <x v="0"/>
  </r>
  <r>
    <n v="259"/>
    <x v="0"/>
    <x v="8"/>
    <x v="2"/>
    <x v="2"/>
    <n v="485.25"/>
    <n v="9"/>
    <n v="3.6"/>
    <x v="0"/>
    <n v="39"/>
    <x v="2"/>
    <s v="6-weeks"/>
    <x v="1"/>
  </r>
  <r>
    <n v="260"/>
    <x v="1"/>
    <x v="9"/>
    <x v="3"/>
    <x v="0"/>
    <n v="1500.1"/>
    <n v="21"/>
    <n v="4.9000000000000004"/>
    <x v="1"/>
    <n v="10"/>
    <x v="0"/>
    <s v="2-weeks"/>
    <x v="0"/>
  </r>
  <r>
    <n v="261"/>
    <x v="1"/>
    <x v="10"/>
    <x v="4"/>
    <x v="1"/>
    <n v="670.3"/>
    <n v="10"/>
    <n v="3.8"/>
    <x v="0"/>
    <n v="33"/>
    <x v="2"/>
    <s v="5-weeks"/>
    <x v="1"/>
  </r>
  <r>
    <n v="262"/>
    <x v="0"/>
    <x v="11"/>
    <x v="5"/>
    <x v="2"/>
    <n v="460.5"/>
    <n v="8"/>
    <n v="3.1"/>
    <x v="1"/>
    <n v="19"/>
    <x v="1"/>
    <s v="3-weeks"/>
    <x v="0"/>
  </r>
  <r>
    <n v="263"/>
    <x v="0"/>
    <x v="3"/>
    <x v="0"/>
    <x v="0"/>
    <n v="1190.8"/>
    <n v="16"/>
    <n v="4.5"/>
    <x v="0"/>
    <n v="20"/>
    <x v="0"/>
    <s v="3-weeks"/>
    <x v="0"/>
  </r>
  <r>
    <n v="264"/>
    <x v="1"/>
    <x v="12"/>
    <x v="1"/>
    <x v="1"/>
    <n v="830.75"/>
    <n v="13"/>
    <n v="4.2"/>
    <x v="1"/>
    <n v="14"/>
    <x v="0"/>
    <s v="2-weeks"/>
    <x v="0"/>
  </r>
  <r>
    <n v="265"/>
    <x v="0"/>
    <x v="13"/>
    <x v="2"/>
    <x v="2"/>
    <n v="520.4"/>
    <n v="9"/>
    <n v="3.5"/>
    <x v="0"/>
    <n v="37"/>
    <x v="2"/>
    <s v="6-weeks"/>
    <x v="1"/>
  </r>
  <r>
    <n v="266"/>
    <x v="1"/>
    <x v="0"/>
    <x v="3"/>
    <x v="0"/>
    <n v="1370.2"/>
    <n v="18"/>
    <n v="4.7"/>
    <x v="1"/>
    <n v="10"/>
    <x v="0"/>
    <s v="2-weeks"/>
    <x v="0"/>
  </r>
  <r>
    <n v="267"/>
    <x v="1"/>
    <x v="14"/>
    <x v="4"/>
    <x v="1"/>
    <n v="690.6"/>
    <n v="12"/>
    <n v="3.9"/>
    <x v="0"/>
    <n v="47"/>
    <x v="2"/>
    <s v="7-weeks"/>
    <x v="1"/>
  </r>
  <r>
    <n v="268"/>
    <x v="0"/>
    <x v="15"/>
    <x v="5"/>
    <x v="2"/>
    <n v="440.9"/>
    <n v="8"/>
    <n v="3.2"/>
    <x v="1"/>
    <n v="24"/>
    <x v="1"/>
    <s v="4-weeks"/>
    <x v="0"/>
  </r>
  <r>
    <n v="269"/>
    <x v="0"/>
    <x v="10"/>
    <x v="0"/>
    <x v="0"/>
    <n v="1160.3"/>
    <n v="14"/>
    <n v="4.4000000000000004"/>
    <x v="0"/>
    <n v="22"/>
    <x v="0"/>
    <s v="4-weeks"/>
    <x v="0"/>
  </r>
  <r>
    <n v="270"/>
    <x v="1"/>
    <x v="1"/>
    <x v="1"/>
    <x v="1"/>
    <n v="800.2"/>
    <n v="11"/>
    <n v="4.0999999999999996"/>
    <x v="1"/>
    <n v="17"/>
    <x v="1"/>
    <s v="3-weeks"/>
    <x v="0"/>
  </r>
  <r>
    <n v="271"/>
    <x v="0"/>
    <x v="2"/>
    <x v="2"/>
    <x v="2"/>
    <n v="500.75"/>
    <n v="10"/>
    <n v="3.3"/>
    <x v="0"/>
    <n v="40"/>
    <x v="2"/>
    <s v="6-weeks"/>
    <x v="1"/>
  </r>
  <r>
    <n v="272"/>
    <x v="1"/>
    <x v="3"/>
    <x v="3"/>
    <x v="0"/>
    <n v="1460.5"/>
    <n v="20"/>
    <n v="4.8"/>
    <x v="1"/>
    <n v="12"/>
    <x v="0"/>
    <s v="2-weeks"/>
    <x v="0"/>
  </r>
  <r>
    <n v="273"/>
    <x v="1"/>
    <x v="4"/>
    <x v="4"/>
    <x v="1"/>
    <n v="700.4"/>
    <n v="13"/>
    <n v="4"/>
    <x v="0"/>
    <n v="53"/>
    <x v="2"/>
    <s v="8-weeks"/>
    <x v="1"/>
  </r>
  <r>
    <n v="274"/>
    <x v="0"/>
    <x v="5"/>
    <x v="5"/>
    <x v="2"/>
    <n v="430.8"/>
    <n v="7"/>
    <n v="3.4"/>
    <x v="1"/>
    <n v="23"/>
    <x v="1"/>
    <s v="4-weeks"/>
    <x v="0"/>
  </r>
  <r>
    <n v="275"/>
    <x v="0"/>
    <x v="6"/>
    <x v="0"/>
    <x v="0"/>
    <n v="1140.5999999999999"/>
    <n v="15"/>
    <n v="4.5"/>
    <x v="0"/>
    <n v="27"/>
    <x v="0"/>
    <s v="4-weeks"/>
    <x v="0"/>
  </r>
  <r>
    <n v="276"/>
    <x v="1"/>
    <x v="7"/>
    <x v="1"/>
    <x v="1"/>
    <n v="820.9"/>
    <n v="12"/>
    <n v="4.3"/>
    <x v="1"/>
    <n v="12"/>
    <x v="1"/>
    <s v="2-weeks"/>
    <x v="0"/>
  </r>
  <r>
    <n v="277"/>
    <x v="0"/>
    <x v="8"/>
    <x v="2"/>
    <x v="2"/>
    <n v="480.25"/>
    <n v="9"/>
    <n v="3.6"/>
    <x v="0"/>
    <n v="38"/>
    <x v="2"/>
    <s v="6-weeks"/>
    <x v="1"/>
  </r>
  <r>
    <n v="278"/>
    <x v="1"/>
    <x v="9"/>
    <x v="3"/>
    <x v="0"/>
    <n v="1490.1"/>
    <n v="21"/>
    <n v="4.9000000000000004"/>
    <x v="1"/>
    <n v="9"/>
    <x v="0"/>
    <s v="2-weeks"/>
    <x v="0"/>
  </r>
  <r>
    <n v="279"/>
    <x v="1"/>
    <x v="10"/>
    <x v="4"/>
    <x v="1"/>
    <n v="680.3"/>
    <n v="10"/>
    <n v="3.8"/>
    <x v="0"/>
    <n v="32"/>
    <x v="2"/>
    <s v="5-weeks"/>
    <x v="1"/>
  </r>
  <r>
    <n v="280"/>
    <x v="0"/>
    <x v="11"/>
    <x v="5"/>
    <x v="2"/>
    <n v="470.5"/>
    <n v="8"/>
    <n v="3"/>
    <x v="1"/>
    <n v="18"/>
    <x v="1"/>
    <s v="3-weeks"/>
    <x v="0"/>
  </r>
  <r>
    <n v="281"/>
    <x v="0"/>
    <x v="3"/>
    <x v="0"/>
    <x v="0"/>
    <n v="1180.8"/>
    <n v="16"/>
    <n v="4.7"/>
    <x v="0"/>
    <n v="19"/>
    <x v="0"/>
    <s v="3-weeks"/>
    <x v="0"/>
  </r>
  <r>
    <n v="282"/>
    <x v="1"/>
    <x v="1"/>
    <x v="1"/>
    <x v="1"/>
    <n v="790.2"/>
    <n v="11"/>
    <n v="4"/>
    <x v="1"/>
    <n v="15"/>
    <x v="1"/>
    <s v="3-weeks"/>
    <x v="0"/>
  </r>
  <r>
    <n v="283"/>
    <x v="0"/>
    <x v="2"/>
    <x v="2"/>
    <x v="2"/>
    <n v="505.75"/>
    <n v="10"/>
    <n v="3.3"/>
    <x v="0"/>
    <n v="39"/>
    <x v="2"/>
    <s v="6-weeks"/>
    <x v="1"/>
  </r>
  <r>
    <n v="284"/>
    <x v="1"/>
    <x v="3"/>
    <x v="3"/>
    <x v="0"/>
    <n v="1470.5"/>
    <n v="20"/>
    <n v="4.8"/>
    <x v="1"/>
    <n v="13"/>
    <x v="0"/>
    <s v="2-weeks"/>
    <x v="0"/>
  </r>
  <r>
    <n v="285"/>
    <x v="1"/>
    <x v="4"/>
    <x v="4"/>
    <x v="1"/>
    <n v="710.4"/>
    <n v="13"/>
    <n v="4.0999999999999996"/>
    <x v="0"/>
    <n v="54"/>
    <x v="2"/>
    <s v="8-weeks"/>
    <x v="1"/>
  </r>
  <r>
    <n v="286"/>
    <x v="0"/>
    <x v="5"/>
    <x v="5"/>
    <x v="2"/>
    <n v="430.8"/>
    <n v="7"/>
    <n v="3.4"/>
    <x v="1"/>
    <n v="23"/>
    <x v="1"/>
    <s v="4-weeks"/>
    <x v="0"/>
  </r>
  <r>
    <n v="287"/>
    <x v="0"/>
    <x v="6"/>
    <x v="0"/>
    <x v="0"/>
    <n v="1130.5999999999999"/>
    <n v="15"/>
    <n v="4.5"/>
    <x v="0"/>
    <n v="26"/>
    <x v="0"/>
    <s v="4-weeks"/>
    <x v="0"/>
  </r>
  <r>
    <n v="288"/>
    <x v="1"/>
    <x v="7"/>
    <x v="1"/>
    <x v="1"/>
    <n v="820.9"/>
    <n v="12"/>
    <n v="4.3"/>
    <x v="1"/>
    <n v="13"/>
    <x v="1"/>
    <s v="2-weeks"/>
    <x v="0"/>
  </r>
  <r>
    <n v="289"/>
    <x v="0"/>
    <x v="8"/>
    <x v="2"/>
    <x v="2"/>
    <n v="485.25"/>
    <n v="9"/>
    <n v="3.6"/>
    <x v="0"/>
    <n v="39"/>
    <x v="2"/>
    <s v="6-weeks"/>
    <x v="1"/>
  </r>
  <r>
    <n v="290"/>
    <x v="1"/>
    <x v="9"/>
    <x v="3"/>
    <x v="0"/>
    <n v="1500.1"/>
    <n v="21"/>
    <n v="4.9000000000000004"/>
    <x v="1"/>
    <n v="10"/>
    <x v="0"/>
    <s v="2-weeks"/>
    <x v="0"/>
  </r>
  <r>
    <n v="291"/>
    <x v="1"/>
    <x v="10"/>
    <x v="4"/>
    <x v="1"/>
    <n v="670.3"/>
    <n v="10"/>
    <n v="3.8"/>
    <x v="0"/>
    <n v="33"/>
    <x v="2"/>
    <s v="5-weeks"/>
    <x v="1"/>
  </r>
  <r>
    <n v="292"/>
    <x v="0"/>
    <x v="11"/>
    <x v="5"/>
    <x v="2"/>
    <n v="460.5"/>
    <n v="8"/>
    <n v="3.1"/>
    <x v="1"/>
    <n v="19"/>
    <x v="1"/>
    <s v="3-weeks"/>
    <x v="0"/>
  </r>
  <r>
    <n v="293"/>
    <x v="0"/>
    <x v="3"/>
    <x v="0"/>
    <x v="0"/>
    <n v="1190.8"/>
    <n v="16"/>
    <n v="4.5"/>
    <x v="0"/>
    <n v="20"/>
    <x v="0"/>
    <s v="3-weeks"/>
    <x v="0"/>
  </r>
  <r>
    <n v="294"/>
    <x v="1"/>
    <x v="12"/>
    <x v="1"/>
    <x v="1"/>
    <n v="830.75"/>
    <n v="13"/>
    <n v="4.2"/>
    <x v="1"/>
    <n v="14"/>
    <x v="0"/>
    <s v="2-weeks"/>
    <x v="0"/>
  </r>
  <r>
    <n v="295"/>
    <x v="0"/>
    <x v="13"/>
    <x v="2"/>
    <x v="2"/>
    <n v="520.4"/>
    <n v="9"/>
    <n v="3.5"/>
    <x v="0"/>
    <n v="37"/>
    <x v="2"/>
    <s v="6-weeks"/>
    <x v="1"/>
  </r>
  <r>
    <n v="296"/>
    <x v="1"/>
    <x v="0"/>
    <x v="3"/>
    <x v="0"/>
    <n v="1370.2"/>
    <n v="18"/>
    <n v="4.7"/>
    <x v="1"/>
    <n v="10"/>
    <x v="0"/>
    <s v="2-weeks"/>
    <x v="0"/>
  </r>
  <r>
    <n v="297"/>
    <x v="1"/>
    <x v="14"/>
    <x v="4"/>
    <x v="1"/>
    <n v="690.6"/>
    <n v="12"/>
    <n v="3.9"/>
    <x v="0"/>
    <n v="47"/>
    <x v="2"/>
    <s v="7-weeks"/>
    <x v="1"/>
  </r>
  <r>
    <n v="298"/>
    <x v="0"/>
    <x v="15"/>
    <x v="5"/>
    <x v="2"/>
    <n v="440.9"/>
    <n v="8"/>
    <n v="3.2"/>
    <x v="1"/>
    <n v="24"/>
    <x v="1"/>
    <s v="4-weeks"/>
    <x v="0"/>
  </r>
  <r>
    <n v="299"/>
    <x v="0"/>
    <x v="10"/>
    <x v="0"/>
    <x v="0"/>
    <n v="1160.3"/>
    <n v="14"/>
    <n v="4.4000000000000004"/>
    <x v="0"/>
    <n v="22"/>
    <x v="0"/>
    <s v="4-weeks"/>
    <x v="0"/>
  </r>
  <r>
    <n v="300"/>
    <x v="1"/>
    <x v="1"/>
    <x v="1"/>
    <x v="1"/>
    <n v="800.2"/>
    <n v="11"/>
    <n v="4.0999999999999996"/>
    <x v="1"/>
    <n v="17"/>
    <x v="1"/>
    <s v="3-weeks"/>
    <x v="0"/>
  </r>
  <r>
    <n v="301"/>
    <x v="1"/>
    <x v="11"/>
    <x v="3"/>
    <x v="0"/>
    <n v="1420.8"/>
    <n v="19"/>
    <n v="4.5999999999999996"/>
    <x v="1"/>
    <n v="11"/>
    <x v="0"/>
    <s v="2-weeks"/>
    <x v="0"/>
  </r>
  <r>
    <n v="302"/>
    <x v="0"/>
    <x v="0"/>
    <x v="4"/>
    <x v="1"/>
    <n v="730.4"/>
    <n v="14"/>
    <n v="4"/>
    <x v="0"/>
    <n v="50"/>
    <x v="2"/>
    <s v="8-weeks"/>
    <x v="1"/>
  </r>
  <r>
    <n v="303"/>
    <x v="0"/>
    <x v="7"/>
    <x v="5"/>
    <x v="2"/>
    <n v="450.6"/>
    <n v="7"/>
    <n v="3.3"/>
    <x v="1"/>
    <n v="21"/>
    <x v="1"/>
    <s v="3-weeks"/>
    <x v="0"/>
  </r>
  <r>
    <n v="304"/>
    <x v="1"/>
    <x v="6"/>
    <x v="0"/>
    <x v="0"/>
    <n v="1210.5999999999999"/>
    <n v="17"/>
    <n v="4.8"/>
    <x v="0"/>
    <n v="18"/>
    <x v="0"/>
    <s v="3-weeks"/>
    <x v="0"/>
  </r>
  <r>
    <n v="305"/>
    <x v="1"/>
    <x v="4"/>
    <x v="1"/>
    <x v="1"/>
    <n v="780.9"/>
    <n v="11"/>
    <n v="4.2"/>
    <x v="1"/>
    <n v="16"/>
    <x v="1"/>
    <s v="3-weeks"/>
    <x v="0"/>
  </r>
  <r>
    <n v="306"/>
    <x v="0"/>
    <x v="13"/>
    <x v="2"/>
    <x v="2"/>
    <n v="495.25"/>
    <n v="10"/>
    <n v="3.5"/>
    <x v="0"/>
    <n v="35"/>
    <x v="2"/>
    <s v="5-weeks"/>
    <x v="1"/>
  </r>
  <r>
    <n v="307"/>
    <x v="1"/>
    <x v="0"/>
    <x v="3"/>
    <x v="0"/>
    <n v="1390.2"/>
    <n v="18"/>
    <n v="4.7"/>
    <x v="1"/>
    <n v="9"/>
    <x v="0"/>
    <s v="2-weeks"/>
    <x v="0"/>
  </r>
  <r>
    <n v="308"/>
    <x v="1"/>
    <x v="14"/>
    <x v="4"/>
    <x v="1"/>
    <n v="670.6"/>
    <n v="12"/>
    <n v="3.9"/>
    <x v="0"/>
    <n v="46"/>
    <x v="2"/>
    <s v="7-weeks"/>
    <x v="1"/>
  </r>
  <r>
    <n v="309"/>
    <x v="0"/>
    <x v="15"/>
    <x v="5"/>
    <x v="2"/>
    <n v="460.9"/>
    <n v="8"/>
    <n v="3.2"/>
    <x v="1"/>
    <n v="25"/>
    <x v="1"/>
    <s v="4-weeks"/>
    <x v="0"/>
  </r>
  <r>
    <n v="310"/>
    <x v="0"/>
    <x v="10"/>
    <x v="0"/>
    <x v="0"/>
    <n v="1170.3"/>
    <n v="14"/>
    <n v="4.5"/>
    <x v="0"/>
    <n v="21"/>
    <x v="0"/>
    <s v="3-weeks"/>
    <x v="0"/>
  </r>
  <r>
    <n v="311"/>
    <x v="1"/>
    <x v="1"/>
    <x v="1"/>
    <x v="1"/>
    <n v="810.2"/>
    <n v="11"/>
    <n v="4"/>
    <x v="1"/>
    <n v="14"/>
    <x v="1"/>
    <s v="2-weeks"/>
    <x v="0"/>
  </r>
  <r>
    <n v="312"/>
    <x v="0"/>
    <x v="2"/>
    <x v="2"/>
    <x v="2"/>
    <n v="515.75"/>
    <n v="9"/>
    <n v="3.3"/>
    <x v="0"/>
    <n v="38"/>
    <x v="2"/>
    <s v="6-weeks"/>
    <x v="1"/>
  </r>
  <r>
    <n v="313"/>
    <x v="1"/>
    <x v="3"/>
    <x v="3"/>
    <x v="0"/>
    <n v="1450.5"/>
    <n v="20"/>
    <n v="4.8"/>
    <x v="1"/>
    <n v="12"/>
    <x v="0"/>
    <s v="2-weeks"/>
    <x v="0"/>
  </r>
  <r>
    <n v="314"/>
    <x v="1"/>
    <x v="4"/>
    <x v="4"/>
    <x v="1"/>
    <n v="690.4"/>
    <n v="13"/>
    <n v="4.0999999999999996"/>
    <x v="0"/>
    <n v="52"/>
    <x v="2"/>
    <s v="8-weeks"/>
    <x v="1"/>
  </r>
  <r>
    <n v="315"/>
    <x v="0"/>
    <x v="5"/>
    <x v="5"/>
    <x v="2"/>
    <n v="420.8"/>
    <n v="7"/>
    <n v="3.4"/>
    <x v="1"/>
    <n v="24"/>
    <x v="1"/>
    <s v="4-weeks"/>
    <x v="0"/>
  </r>
  <r>
    <n v="316"/>
    <x v="0"/>
    <x v="6"/>
    <x v="0"/>
    <x v="0"/>
    <n v="1130.5999999999999"/>
    <n v="15"/>
    <n v="4.5"/>
    <x v="0"/>
    <n v="26"/>
    <x v="0"/>
    <s v="4-weeks"/>
    <x v="0"/>
  </r>
  <r>
    <n v="317"/>
    <x v="1"/>
    <x v="7"/>
    <x v="1"/>
    <x v="1"/>
    <n v="820.9"/>
    <n v="12"/>
    <n v="4.3"/>
    <x v="1"/>
    <n v="13"/>
    <x v="1"/>
    <s v="2-weeks"/>
    <x v="0"/>
  </r>
  <r>
    <n v="318"/>
    <x v="0"/>
    <x v="8"/>
    <x v="2"/>
    <x v="2"/>
    <n v="480.25"/>
    <n v="9"/>
    <n v="3.6"/>
    <x v="0"/>
    <n v="39"/>
    <x v="2"/>
    <s v="6-weeks"/>
    <x v="1"/>
  </r>
  <r>
    <n v="319"/>
    <x v="1"/>
    <x v="9"/>
    <x v="3"/>
    <x v="0"/>
    <n v="1490.1"/>
    <n v="21"/>
    <n v="4.9000000000000004"/>
    <x v="1"/>
    <n v="9"/>
    <x v="0"/>
    <s v="2-weeks"/>
    <x v="0"/>
  </r>
  <r>
    <n v="320"/>
    <x v="1"/>
    <x v="10"/>
    <x v="4"/>
    <x v="1"/>
    <n v="680.3"/>
    <n v="10"/>
    <n v="3.8"/>
    <x v="0"/>
    <n v="32"/>
    <x v="2"/>
    <s v="5-weeks"/>
    <x v="1"/>
  </r>
  <r>
    <n v="321"/>
    <x v="0"/>
    <x v="11"/>
    <x v="5"/>
    <x v="2"/>
    <n v="470.5"/>
    <n v="8"/>
    <n v="3"/>
    <x v="1"/>
    <n v="18"/>
    <x v="1"/>
    <s v="3-weeks"/>
    <x v="0"/>
  </r>
  <r>
    <n v="322"/>
    <x v="0"/>
    <x v="3"/>
    <x v="0"/>
    <x v="0"/>
    <n v="1180.8"/>
    <n v="16"/>
    <n v="4.7"/>
    <x v="0"/>
    <n v="19"/>
    <x v="0"/>
    <s v="3-weeks"/>
    <x v="0"/>
  </r>
  <r>
    <n v="323"/>
    <x v="1"/>
    <x v="1"/>
    <x v="1"/>
    <x v="1"/>
    <n v="790.2"/>
    <n v="11"/>
    <n v="4"/>
    <x v="1"/>
    <n v="15"/>
    <x v="1"/>
    <s v="3-weeks"/>
    <x v="0"/>
  </r>
  <r>
    <n v="324"/>
    <x v="0"/>
    <x v="2"/>
    <x v="2"/>
    <x v="2"/>
    <n v="505.75"/>
    <n v="10"/>
    <n v="3.3"/>
    <x v="0"/>
    <n v="39"/>
    <x v="2"/>
    <s v="6-weeks"/>
    <x v="1"/>
  </r>
  <r>
    <n v="325"/>
    <x v="1"/>
    <x v="3"/>
    <x v="3"/>
    <x v="0"/>
    <n v="1470.5"/>
    <n v="20"/>
    <n v="4.8"/>
    <x v="1"/>
    <n v="13"/>
    <x v="0"/>
    <s v="2-weeks"/>
    <x v="0"/>
  </r>
  <r>
    <n v="326"/>
    <x v="1"/>
    <x v="4"/>
    <x v="4"/>
    <x v="1"/>
    <n v="710.4"/>
    <n v="13"/>
    <n v="4.0999999999999996"/>
    <x v="0"/>
    <n v="54"/>
    <x v="2"/>
    <s v="8-weeks"/>
    <x v="1"/>
  </r>
  <r>
    <n v="327"/>
    <x v="0"/>
    <x v="5"/>
    <x v="5"/>
    <x v="2"/>
    <n v="430.8"/>
    <n v="7"/>
    <n v="3.4"/>
    <x v="1"/>
    <n v="23"/>
    <x v="1"/>
    <s v="4-weeks"/>
    <x v="0"/>
  </r>
  <r>
    <n v="328"/>
    <x v="0"/>
    <x v="6"/>
    <x v="0"/>
    <x v="0"/>
    <n v="1140.5999999999999"/>
    <n v="15"/>
    <n v="4.5"/>
    <x v="0"/>
    <n v="27"/>
    <x v="0"/>
    <s v="4-weeks"/>
    <x v="0"/>
  </r>
  <r>
    <n v="329"/>
    <x v="1"/>
    <x v="7"/>
    <x v="1"/>
    <x v="1"/>
    <n v="820.9"/>
    <n v="12"/>
    <n v="4.3"/>
    <x v="1"/>
    <n v="13"/>
    <x v="1"/>
    <s v="2-weeks"/>
    <x v="0"/>
  </r>
  <r>
    <n v="330"/>
    <x v="0"/>
    <x v="8"/>
    <x v="2"/>
    <x v="2"/>
    <n v="485.25"/>
    <n v="9"/>
    <n v="3.6"/>
    <x v="0"/>
    <n v="39"/>
    <x v="2"/>
    <s v="6-weeks"/>
    <x v="1"/>
  </r>
  <r>
    <n v="331"/>
    <x v="1"/>
    <x v="9"/>
    <x v="3"/>
    <x v="0"/>
    <n v="1500.1"/>
    <n v="21"/>
    <n v="4.9000000000000004"/>
    <x v="1"/>
    <n v="10"/>
    <x v="0"/>
    <s v="2-weeks"/>
    <x v="0"/>
  </r>
  <r>
    <n v="332"/>
    <x v="1"/>
    <x v="10"/>
    <x v="4"/>
    <x v="1"/>
    <n v="670.3"/>
    <n v="10"/>
    <n v="3.8"/>
    <x v="0"/>
    <n v="33"/>
    <x v="2"/>
    <s v="5-weeks"/>
    <x v="1"/>
  </r>
  <r>
    <n v="333"/>
    <x v="0"/>
    <x v="11"/>
    <x v="5"/>
    <x v="2"/>
    <n v="460.5"/>
    <n v="8"/>
    <n v="3.1"/>
    <x v="1"/>
    <n v="19"/>
    <x v="1"/>
    <s v="3-weeks"/>
    <x v="0"/>
  </r>
  <r>
    <n v="334"/>
    <x v="0"/>
    <x v="3"/>
    <x v="0"/>
    <x v="0"/>
    <n v="1190.8"/>
    <n v="16"/>
    <n v="4.5"/>
    <x v="0"/>
    <n v="20"/>
    <x v="0"/>
    <s v="3-weeks"/>
    <x v="0"/>
  </r>
  <r>
    <n v="335"/>
    <x v="1"/>
    <x v="12"/>
    <x v="1"/>
    <x v="1"/>
    <n v="830.75"/>
    <n v="13"/>
    <n v="4.2"/>
    <x v="1"/>
    <n v="14"/>
    <x v="0"/>
    <s v="2-weeks"/>
    <x v="0"/>
  </r>
  <r>
    <n v="336"/>
    <x v="0"/>
    <x v="13"/>
    <x v="2"/>
    <x v="2"/>
    <n v="520.4"/>
    <n v="9"/>
    <n v="3.5"/>
    <x v="0"/>
    <n v="37"/>
    <x v="2"/>
    <s v="6-weeks"/>
    <x v="1"/>
  </r>
  <r>
    <n v="337"/>
    <x v="1"/>
    <x v="0"/>
    <x v="3"/>
    <x v="0"/>
    <n v="1370.2"/>
    <n v="18"/>
    <n v="4.7"/>
    <x v="1"/>
    <n v="10"/>
    <x v="0"/>
    <s v="2-weeks"/>
    <x v="0"/>
  </r>
  <r>
    <n v="338"/>
    <x v="1"/>
    <x v="14"/>
    <x v="4"/>
    <x v="1"/>
    <n v="690.6"/>
    <n v="12"/>
    <n v="3.9"/>
    <x v="0"/>
    <n v="47"/>
    <x v="2"/>
    <s v="7-weeks"/>
    <x v="1"/>
  </r>
  <r>
    <n v="339"/>
    <x v="0"/>
    <x v="15"/>
    <x v="5"/>
    <x v="2"/>
    <n v="440.9"/>
    <n v="8"/>
    <n v="3.2"/>
    <x v="1"/>
    <n v="24"/>
    <x v="1"/>
    <s v="4-weeks"/>
    <x v="0"/>
  </r>
  <r>
    <n v="340"/>
    <x v="0"/>
    <x v="10"/>
    <x v="0"/>
    <x v="0"/>
    <n v="1160.3"/>
    <n v="14"/>
    <n v="4.4000000000000004"/>
    <x v="0"/>
    <n v="22"/>
    <x v="0"/>
    <s v="4-weeks"/>
    <x v="0"/>
  </r>
  <r>
    <n v="341"/>
    <x v="1"/>
    <x v="1"/>
    <x v="1"/>
    <x v="1"/>
    <n v="800.2"/>
    <n v="11"/>
    <n v="4.0999999999999996"/>
    <x v="1"/>
    <n v="17"/>
    <x v="1"/>
    <s v="3-weeks"/>
    <x v="0"/>
  </r>
  <r>
    <n v="342"/>
    <x v="0"/>
    <x v="2"/>
    <x v="2"/>
    <x v="2"/>
    <n v="525.75"/>
    <n v="9"/>
    <n v="3.3"/>
    <x v="0"/>
    <n v="40"/>
    <x v="2"/>
    <s v="6-weeks"/>
    <x v="1"/>
  </r>
  <r>
    <n v="343"/>
    <x v="1"/>
    <x v="3"/>
    <x v="3"/>
    <x v="0"/>
    <n v="1460.5"/>
    <n v="20"/>
    <n v="4.8"/>
    <x v="1"/>
    <n v="11"/>
    <x v="0"/>
    <s v="2-weeks"/>
    <x v="0"/>
  </r>
  <r>
    <n v="344"/>
    <x v="1"/>
    <x v="4"/>
    <x v="4"/>
    <x v="1"/>
    <n v="720.4"/>
    <n v="13"/>
    <n v="4"/>
    <x v="0"/>
    <n v="55"/>
    <x v="2"/>
    <s v="8-weeks"/>
    <x v="1"/>
  </r>
  <r>
    <n v="345"/>
    <x v="0"/>
    <x v="5"/>
    <x v="5"/>
    <x v="2"/>
    <n v="440.8"/>
    <n v="7"/>
    <n v="3.2"/>
    <x v="1"/>
    <n v="25"/>
    <x v="1"/>
    <s v="4-weeks"/>
    <x v="0"/>
  </r>
  <r>
    <n v="346"/>
    <x v="0"/>
    <x v="6"/>
    <x v="0"/>
    <x v="0"/>
    <n v="1150.5999999999999"/>
    <n v="15"/>
    <n v="4.5"/>
    <x v="0"/>
    <n v="28"/>
    <x v="0"/>
    <s v="4-weeks"/>
    <x v="0"/>
  </r>
  <r>
    <n v="347"/>
    <x v="1"/>
    <x v="7"/>
    <x v="1"/>
    <x v="1"/>
    <n v="830.9"/>
    <n v="12"/>
    <n v="4.3"/>
    <x v="1"/>
    <n v="14"/>
    <x v="1"/>
    <s v="2-weeks"/>
    <x v="0"/>
  </r>
  <r>
    <n v="348"/>
    <x v="0"/>
    <x v="8"/>
    <x v="2"/>
    <x v="2"/>
    <n v="490.25"/>
    <n v="9"/>
    <n v="3.6"/>
    <x v="0"/>
    <n v="40"/>
    <x v="2"/>
    <s v="6-weeks"/>
    <x v="1"/>
  </r>
  <r>
    <n v="349"/>
    <x v="1"/>
    <x v="9"/>
    <x v="3"/>
    <x v="0"/>
    <n v="1480.1"/>
    <n v="21"/>
    <n v="4.9000000000000004"/>
    <x v="1"/>
    <n v="10"/>
    <x v="0"/>
    <s v="2-weeks"/>
    <x v="0"/>
  </r>
  <r>
    <n v="350"/>
    <x v="1"/>
    <x v="10"/>
    <x v="4"/>
    <x v="1"/>
    <n v="690.3"/>
    <n v="10"/>
    <n v="3.8"/>
    <x v="0"/>
    <n v="34"/>
    <x v="2"/>
    <s v="5-weeks"/>
    <x v="1"/>
  </r>
  <r>
    <n v="351"/>
    <x v="0"/>
    <x v="11"/>
    <x v="5"/>
    <x v="2"/>
    <n v="480.5"/>
    <n v="8"/>
    <n v="3.1"/>
    <x v="1"/>
    <n v="20"/>
    <x v="1"/>
    <s v="3-weeks"/>
    <x v="0"/>
  </r>
  <r>
    <n v="352"/>
    <x v="0"/>
    <x v="3"/>
    <x v="0"/>
    <x v="0"/>
    <n v="1170.8"/>
    <n v="16"/>
    <n v="4.7"/>
    <x v="0"/>
    <n v="21"/>
    <x v="0"/>
    <s v="3-weeks"/>
    <x v="0"/>
  </r>
  <r>
    <n v="353"/>
    <x v="1"/>
    <x v="1"/>
    <x v="1"/>
    <x v="1"/>
    <n v="790.2"/>
    <n v="11"/>
    <n v="4"/>
    <x v="1"/>
    <n v="15"/>
    <x v="1"/>
    <s v="3-weeks"/>
    <x v="0"/>
  </r>
  <r>
    <n v="354"/>
    <x v="0"/>
    <x v="2"/>
    <x v="2"/>
    <x v="2"/>
    <n v="510.75"/>
    <n v="10"/>
    <n v="3.3"/>
    <x v="0"/>
    <n v="41"/>
    <x v="2"/>
    <s v="6-weeks"/>
    <x v="1"/>
  </r>
  <r>
    <n v="355"/>
    <x v="1"/>
    <x v="3"/>
    <x v="3"/>
    <x v="0"/>
    <n v="1440.5"/>
    <n v="19"/>
    <n v="4.5999999999999996"/>
    <x v="1"/>
    <n v="12"/>
    <x v="0"/>
    <s v="2-weeks"/>
    <x v="0"/>
  </r>
  <r>
    <n v="356"/>
    <x v="1"/>
    <x v="4"/>
    <x v="4"/>
    <x v="1"/>
    <n v="700.4"/>
    <n v="13"/>
    <n v="4.0999999999999996"/>
    <x v="0"/>
    <n v="56"/>
    <x v="2"/>
    <s v="8-weeks"/>
    <x v="1"/>
  </r>
  <r>
    <n v="357"/>
    <x v="0"/>
    <x v="5"/>
    <x v="5"/>
    <x v="2"/>
    <n v="410.8"/>
    <n v="7"/>
    <n v="3.4"/>
    <x v="1"/>
    <n v="26"/>
    <x v="1"/>
    <s v="4-weeks"/>
    <x v="0"/>
  </r>
  <r>
    <n v="358"/>
    <x v="0"/>
    <x v="6"/>
    <x v="0"/>
    <x v="0"/>
    <n v="1160.5999999999999"/>
    <n v="15"/>
    <n v="4.5"/>
    <x v="0"/>
    <n v="29"/>
    <x v="0"/>
    <s v="5-weeks"/>
    <x v="1"/>
  </r>
  <r>
    <n v="359"/>
    <x v="1"/>
    <x v="7"/>
    <x v="1"/>
    <x v="1"/>
    <n v="810.9"/>
    <n v="12"/>
    <n v="4.3"/>
    <x v="1"/>
    <n v="14"/>
    <x v="1"/>
    <s v="2-weeks"/>
    <x v="0"/>
  </r>
  <r>
    <n v="360"/>
    <x v="0"/>
    <x v="8"/>
    <x v="2"/>
    <x v="2"/>
    <n v="495.25"/>
    <n v="9"/>
    <n v="3.6"/>
    <x v="0"/>
    <n v="41"/>
    <x v="2"/>
    <s v="6-weeks"/>
    <x v="1"/>
  </r>
  <r>
    <n v="361"/>
    <x v="1"/>
    <x v="9"/>
    <x v="3"/>
    <x v="0"/>
    <n v="1490.1"/>
    <n v="21"/>
    <n v="4.9000000000000004"/>
    <x v="1"/>
    <n v="10"/>
    <x v="0"/>
    <s v="2-weeks"/>
    <x v="0"/>
  </r>
  <r>
    <n v="362"/>
    <x v="1"/>
    <x v="10"/>
    <x v="4"/>
    <x v="1"/>
    <n v="660.3"/>
    <n v="10"/>
    <n v="3.8"/>
    <x v="0"/>
    <n v="35"/>
    <x v="2"/>
    <s v="5-weeks"/>
    <x v="1"/>
  </r>
  <r>
    <n v="363"/>
    <x v="0"/>
    <x v="11"/>
    <x v="5"/>
    <x v="2"/>
    <n v="430.5"/>
    <n v="8"/>
    <n v="3.1"/>
    <x v="1"/>
    <n v="21"/>
    <x v="1"/>
    <s v="3-weeks"/>
    <x v="0"/>
  </r>
  <r>
    <n v="364"/>
    <x v="0"/>
    <x v="3"/>
    <x v="0"/>
    <x v="0"/>
    <n v="1200.8"/>
    <n v="16"/>
    <n v="4.7"/>
    <x v="0"/>
    <n v="22"/>
    <x v="0"/>
    <s v="4-weeks"/>
    <x v="0"/>
  </r>
  <r>
    <n v="365"/>
    <x v="1"/>
    <x v="1"/>
    <x v="1"/>
    <x v="1"/>
    <n v="780.2"/>
    <n v="11"/>
    <n v="4.0999999999999996"/>
    <x v="1"/>
    <n v="16"/>
    <x v="1"/>
    <s v="3-weeks"/>
    <x v="0"/>
  </r>
  <r>
    <n v="366"/>
    <x v="0"/>
    <x v="2"/>
    <x v="2"/>
    <x v="2"/>
    <n v="505.75"/>
    <n v="10"/>
    <n v="3.3"/>
    <x v="0"/>
    <n v="42"/>
    <x v="2"/>
    <s v="6-weeks"/>
    <x v="1"/>
  </r>
  <r>
    <n v="367"/>
    <x v="1"/>
    <x v="3"/>
    <x v="3"/>
    <x v="0"/>
    <n v="1460.5"/>
    <n v="20"/>
    <n v="4.8"/>
    <x v="1"/>
    <n v="13"/>
    <x v="0"/>
    <s v="2-weeks"/>
    <x v="0"/>
  </r>
  <r>
    <n v="368"/>
    <x v="1"/>
    <x v="4"/>
    <x v="4"/>
    <x v="1"/>
    <n v="710.4"/>
    <n v="13"/>
    <n v="4.0999999999999996"/>
    <x v="0"/>
    <n v="57"/>
    <x v="2"/>
    <s v="9-weeks"/>
    <x v="1"/>
  </r>
  <r>
    <n v="369"/>
    <x v="0"/>
    <x v="5"/>
    <x v="5"/>
    <x v="2"/>
    <n v="450.8"/>
    <n v="7"/>
    <n v="3.4"/>
    <x v="1"/>
    <n v="24"/>
    <x v="1"/>
    <s v="4-weeks"/>
    <x v="0"/>
  </r>
  <r>
    <n v="370"/>
    <x v="0"/>
    <x v="6"/>
    <x v="0"/>
    <x v="0"/>
    <n v="1140.5999999999999"/>
    <n v="15"/>
    <n v="4.5"/>
    <x v="0"/>
    <n v="30"/>
    <x v="0"/>
    <s v="5-weeks"/>
    <x v="1"/>
  </r>
  <r>
    <n v="371"/>
    <x v="1"/>
    <x v="7"/>
    <x v="1"/>
    <x v="1"/>
    <n v="800.9"/>
    <n v="12"/>
    <n v="4.0999999999999996"/>
    <x v="1"/>
    <n v="17"/>
    <x v="1"/>
    <s v="3-weeks"/>
    <x v="0"/>
  </r>
  <r>
    <n v="372"/>
    <x v="0"/>
    <x v="8"/>
    <x v="2"/>
    <x v="2"/>
    <n v="475.25"/>
    <n v="9"/>
    <n v="3.6"/>
    <x v="0"/>
    <n v="42"/>
    <x v="2"/>
    <s v="6-weeks"/>
    <x v="1"/>
  </r>
  <r>
    <n v="373"/>
    <x v="1"/>
    <x v="9"/>
    <x v="3"/>
    <x v="0"/>
    <n v="1480.1"/>
    <n v="21"/>
    <n v="4.9000000000000004"/>
    <x v="1"/>
    <n v="11"/>
    <x v="0"/>
    <s v="2-weeks"/>
    <x v="0"/>
  </r>
  <r>
    <n v="374"/>
    <x v="1"/>
    <x v="10"/>
    <x v="4"/>
    <x v="1"/>
    <n v="660.3"/>
    <n v="10"/>
    <n v="3.8"/>
    <x v="0"/>
    <n v="36"/>
    <x v="2"/>
    <s v="6-weeks"/>
    <x v="1"/>
  </r>
  <r>
    <n v="375"/>
    <x v="0"/>
    <x v="11"/>
    <x v="5"/>
    <x v="2"/>
    <n v="470.5"/>
    <n v="8"/>
    <n v="3"/>
    <x v="1"/>
    <n v="22"/>
    <x v="1"/>
    <s v="4-weeks"/>
    <x v="0"/>
  </r>
  <r>
    <n v="376"/>
    <x v="0"/>
    <x v="3"/>
    <x v="0"/>
    <x v="0"/>
    <n v="1190.8"/>
    <n v="16"/>
    <n v="4.5"/>
    <x v="0"/>
    <n v="23"/>
    <x v="0"/>
    <s v="4-weeks"/>
    <x v="0"/>
  </r>
  <r>
    <n v="377"/>
    <x v="1"/>
    <x v="12"/>
    <x v="1"/>
    <x v="1"/>
    <n v="770.2"/>
    <n v="11"/>
    <n v="4.2"/>
    <x v="1"/>
    <n v="18"/>
    <x v="1"/>
    <s v="3-weeks"/>
    <x v="0"/>
  </r>
  <r>
    <n v="378"/>
    <x v="0"/>
    <x v="2"/>
    <x v="2"/>
    <x v="2"/>
    <n v="515.75"/>
    <n v="10"/>
    <n v="3.3"/>
    <x v="0"/>
    <n v="43"/>
    <x v="2"/>
    <s v="7-weeks"/>
    <x v="1"/>
  </r>
  <r>
    <n v="379"/>
    <x v="1"/>
    <x v="3"/>
    <x v="3"/>
    <x v="0"/>
    <n v="1450.5"/>
    <n v="19"/>
    <n v="4.5999999999999996"/>
    <x v="1"/>
    <n v="12"/>
    <x v="0"/>
    <s v="2-weeks"/>
    <x v="0"/>
  </r>
  <r>
    <n v="380"/>
    <x v="1"/>
    <x v="4"/>
    <x v="4"/>
    <x v="1"/>
    <n v="710.4"/>
    <n v="13"/>
    <n v="4.0999999999999996"/>
    <x v="0"/>
    <n v="58"/>
    <x v="2"/>
    <s v="9-weeks"/>
    <x v="1"/>
  </r>
  <r>
    <n v="381"/>
    <x v="0"/>
    <x v="5"/>
    <x v="5"/>
    <x v="2"/>
    <n v="430.8"/>
    <n v="7"/>
    <n v="3.4"/>
    <x v="1"/>
    <n v="27"/>
    <x v="1"/>
    <s v="4-weeks"/>
    <x v="0"/>
  </r>
  <r>
    <n v="382"/>
    <x v="0"/>
    <x v="6"/>
    <x v="0"/>
    <x v="0"/>
    <n v="1160.5999999999999"/>
    <n v="15"/>
    <n v="4.5"/>
    <x v="0"/>
    <n v="31"/>
    <x v="0"/>
    <s v="5-weeks"/>
    <x v="1"/>
  </r>
  <r>
    <n v="383"/>
    <x v="1"/>
    <x v="7"/>
    <x v="1"/>
    <x v="1"/>
    <n v="820.9"/>
    <n v="12"/>
    <n v="4.3"/>
    <x v="1"/>
    <n v="15"/>
    <x v="1"/>
    <s v="3-weeks"/>
    <x v="0"/>
  </r>
  <r>
    <n v="384"/>
    <x v="0"/>
    <x v="8"/>
    <x v="2"/>
    <x v="2"/>
    <n v="495.25"/>
    <n v="9"/>
    <n v="3.6"/>
    <x v="0"/>
    <n v="43"/>
    <x v="2"/>
    <s v="7-weeks"/>
    <x v="1"/>
  </r>
  <r>
    <n v="385"/>
    <x v="1"/>
    <x v="9"/>
    <x v="3"/>
    <x v="0"/>
    <n v="1490.1"/>
    <n v="21"/>
    <n v="4.9000000000000004"/>
    <x v="1"/>
    <n v="10"/>
    <x v="0"/>
    <s v="2-weeks"/>
    <x v="0"/>
  </r>
  <r>
    <n v="386"/>
    <x v="1"/>
    <x v="10"/>
    <x v="4"/>
    <x v="1"/>
    <n v="660.3"/>
    <n v="10"/>
    <n v="3.8"/>
    <x v="0"/>
    <n v="37"/>
    <x v="2"/>
    <s v="6-weeks"/>
    <x v="1"/>
  </r>
  <r>
    <n v="387"/>
    <x v="0"/>
    <x v="11"/>
    <x v="5"/>
    <x v="2"/>
    <n v="440.5"/>
    <n v="8"/>
    <n v="3.1"/>
    <x v="1"/>
    <n v="23"/>
    <x v="1"/>
    <s v="4-weeks"/>
    <x v="0"/>
  </r>
  <r>
    <n v="388"/>
    <x v="0"/>
    <x v="3"/>
    <x v="0"/>
    <x v="0"/>
    <n v="1200.8"/>
    <n v="16"/>
    <n v="4.7"/>
    <x v="0"/>
    <n v="24"/>
    <x v="0"/>
    <s v="4-weeks"/>
    <x v="0"/>
  </r>
  <r>
    <n v="389"/>
    <x v="1"/>
    <x v="1"/>
    <x v="1"/>
    <x v="1"/>
    <n v="780.2"/>
    <n v="11"/>
    <n v="4.0999999999999996"/>
    <x v="1"/>
    <n v="16"/>
    <x v="1"/>
    <s v="3-weeks"/>
    <x v="0"/>
  </r>
  <r>
    <n v="390"/>
    <x v="0"/>
    <x v="2"/>
    <x v="2"/>
    <x v="2"/>
    <n v="505.75"/>
    <n v="10"/>
    <n v="3.3"/>
    <x v="0"/>
    <n v="44"/>
    <x v="2"/>
    <s v="7-weeks"/>
    <x v="1"/>
  </r>
  <r>
    <n v="391"/>
    <x v="1"/>
    <x v="3"/>
    <x v="3"/>
    <x v="0"/>
    <n v="1460.5"/>
    <n v="20"/>
    <n v="4.8"/>
    <x v="1"/>
    <n v="13"/>
    <x v="0"/>
    <s v="2-weeks"/>
    <x v="0"/>
  </r>
  <r>
    <n v="392"/>
    <x v="1"/>
    <x v="4"/>
    <x v="4"/>
    <x v="1"/>
    <n v="710.4"/>
    <n v="13"/>
    <n v="4.0999999999999996"/>
    <x v="0"/>
    <n v="59"/>
    <x v="2"/>
    <s v="9-weeks"/>
    <x v="1"/>
  </r>
  <r>
    <n v="393"/>
    <x v="0"/>
    <x v="5"/>
    <x v="5"/>
    <x v="2"/>
    <n v="450.8"/>
    <n v="7"/>
    <n v="3.4"/>
    <x v="1"/>
    <n v="28"/>
    <x v="1"/>
    <s v="4-weeks"/>
    <x v="0"/>
  </r>
  <r>
    <n v="394"/>
    <x v="0"/>
    <x v="6"/>
    <x v="0"/>
    <x v="0"/>
    <n v="1140.5999999999999"/>
    <n v="15"/>
    <n v="4.5"/>
    <x v="0"/>
    <n v="32"/>
    <x v="0"/>
    <s v="5-weeks"/>
    <x v="1"/>
  </r>
  <r>
    <n v="395"/>
    <x v="1"/>
    <x v="7"/>
    <x v="1"/>
    <x v="1"/>
    <n v="800.9"/>
    <n v="12"/>
    <n v="4.0999999999999996"/>
    <x v="1"/>
    <n v="17"/>
    <x v="1"/>
    <s v="3-weeks"/>
    <x v="0"/>
  </r>
  <r>
    <n v="396"/>
    <x v="0"/>
    <x v="8"/>
    <x v="2"/>
    <x v="2"/>
    <n v="475.25"/>
    <n v="9"/>
    <n v="3.6"/>
    <x v="0"/>
    <n v="44"/>
    <x v="2"/>
    <s v="7-weeks"/>
    <x v="1"/>
  </r>
  <r>
    <n v="397"/>
    <x v="1"/>
    <x v="9"/>
    <x v="3"/>
    <x v="0"/>
    <n v="1480.1"/>
    <n v="21"/>
    <n v="4.9000000000000004"/>
    <x v="1"/>
    <n v="12"/>
    <x v="0"/>
    <s v="2-weeks"/>
    <x v="0"/>
  </r>
  <r>
    <n v="398"/>
    <x v="1"/>
    <x v="10"/>
    <x v="4"/>
    <x v="1"/>
    <n v="660.3"/>
    <n v="10"/>
    <n v="3.8"/>
    <x v="0"/>
    <n v="38"/>
    <x v="2"/>
    <s v="6-weeks"/>
    <x v="1"/>
  </r>
  <r>
    <n v="399"/>
    <x v="0"/>
    <x v="11"/>
    <x v="5"/>
    <x v="2"/>
    <n v="470.5"/>
    <n v="8"/>
    <n v="3"/>
    <x v="1"/>
    <n v="22"/>
    <x v="1"/>
    <s v="4-weeks"/>
    <x v="0"/>
  </r>
  <r>
    <n v="400"/>
    <x v="0"/>
    <x v="3"/>
    <x v="0"/>
    <x v="0"/>
    <n v="1190.8"/>
    <n v="16"/>
    <n v="4.5"/>
    <x v="0"/>
    <n v="25"/>
    <x v="0"/>
    <s v="4-weeks"/>
    <x v="0"/>
  </r>
  <r>
    <n v="401"/>
    <x v="1"/>
    <x v="12"/>
    <x v="1"/>
    <x v="1"/>
    <n v="800.2"/>
    <n v="11"/>
    <n v="4.0999999999999996"/>
    <x v="1"/>
    <n v="18"/>
    <x v="1"/>
    <s v="3-weeks"/>
    <x v="0"/>
  </r>
  <r>
    <n v="402"/>
    <x v="0"/>
    <x v="2"/>
    <x v="2"/>
    <x v="2"/>
    <n v="515.75"/>
    <n v="10"/>
    <n v="3.3"/>
    <x v="0"/>
    <n v="45"/>
    <x v="2"/>
    <s v="7-weeks"/>
    <x v="1"/>
  </r>
  <r>
    <n v="403"/>
    <x v="1"/>
    <x v="3"/>
    <x v="3"/>
    <x v="0"/>
    <n v="1450.5"/>
    <n v="19"/>
    <n v="4.5999999999999996"/>
    <x v="1"/>
    <n v="13"/>
    <x v="0"/>
    <s v="2-weeks"/>
    <x v="0"/>
  </r>
  <r>
    <n v="404"/>
    <x v="1"/>
    <x v="4"/>
    <x v="4"/>
    <x v="1"/>
    <n v="710.4"/>
    <n v="13"/>
    <n v="4.0999999999999996"/>
    <x v="0"/>
    <n v="60"/>
    <x v="2"/>
    <s v="9-weeks"/>
    <x v="1"/>
  </r>
  <r>
    <n v="405"/>
    <x v="0"/>
    <x v="5"/>
    <x v="5"/>
    <x v="2"/>
    <n v="430.8"/>
    <n v="7"/>
    <n v="3.4"/>
    <x v="1"/>
    <n v="29"/>
    <x v="1"/>
    <s v="5-weeks"/>
    <x v="1"/>
  </r>
  <r>
    <n v="406"/>
    <x v="0"/>
    <x v="6"/>
    <x v="0"/>
    <x v="0"/>
    <n v="1160.5999999999999"/>
    <n v="15"/>
    <n v="4.5"/>
    <x v="0"/>
    <n v="33"/>
    <x v="0"/>
    <s v="5-weeks"/>
    <x v="1"/>
  </r>
  <r>
    <n v="407"/>
    <x v="1"/>
    <x v="7"/>
    <x v="1"/>
    <x v="1"/>
    <n v="820.9"/>
    <n v="12"/>
    <n v="4.3"/>
    <x v="1"/>
    <n v="16"/>
    <x v="1"/>
    <s v="3-weeks"/>
    <x v="0"/>
  </r>
  <r>
    <n v="408"/>
    <x v="0"/>
    <x v="8"/>
    <x v="2"/>
    <x v="2"/>
    <n v="495.25"/>
    <n v="9"/>
    <n v="3.6"/>
    <x v="0"/>
    <n v="45"/>
    <x v="2"/>
    <s v="7-weeks"/>
    <x v="1"/>
  </r>
  <r>
    <n v="409"/>
    <x v="1"/>
    <x v="9"/>
    <x v="3"/>
    <x v="0"/>
    <n v="1490.1"/>
    <n v="21"/>
    <n v="4.9000000000000004"/>
    <x v="1"/>
    <n v="11"/>
    <x v="0"/>
    <s v="2-weeks"/>
    <x v="0"/>
  </r>
  <r>
    <n v="410"/>
    <x v="1"/>
    <x v="10"/>
    <x v="4"/>
    <x v="1"/>
    <n v="660.3"/>
    <n v="10"/>
    <n v="3.8"/>
    <x v="0"/>
    <n v="39"/>
    <x v="2"/>
    <s v="6-weeks"/>
    <x v="1"/>
  </r>
  <r>
    <n v="411"/>
    <x v="0"/>
    <x v="11"/>
    <x v="5"/>
    <x v="2"/>
    <n v="440.5"/>
    <n v="8"/>
    <n v="3.1"/>
    <x v="1"/>
    <n v="24"/>
    <x v="1"/>
    <s v="4-weeks"/>
    <x v="0"/>
  </r>
  <r>
    <n v="412"/>
    <x v="0"/>
    <x v="3"/>
    <x v="0"/>
    <x v="0"/>
    <n v="1200.8"/>
    <n v="16"/>
    <n v="4.7"/>
    <x v="0"/>
    <n v="25"/>
    <x v="0"/>
    <s v="4-weeks"/>
    <x v="0"/>
  </r>
  <r>
    <n v="413"/>
    <x v="1"/>
    <x v="1"/>
    <x v="1"/>
    <x v="1"/>
    <n v="780.2"/>
    <n v="11"/>
    <n v="4.0999999999999996"/>
    <x v="1"/>
    <n v="17"/>
    <x v="1"/>
    <s v="3-weeks"/>
    <x v="0"/>
  </r>
  <r>
    <n v="414"/>
    <x v="0"/>
    <x v="2"/>
    <x v="2"/>
    <x v="2"/>
    <n v="505.75"/>
    <n v="10"/>
    <n v="3.3"/>
    <x v="0"/>
    <n v="46"/>
    <x v="2"/>
    <s v="7-weeks"/>
    <x v="1"/>
  </r>
  <r>
    <n v="415"/>
    <x v="1"/>
    <x v="3"/>
    <x v="3"/>
    <x v="0"/>
    <n v="1460.5"/>
    <n v="20"/>
    <n v="4.8"/>
    <x v="1"/>
    <n v="14"/>
    <x v="0"/>
    <s v="2-weeks"/>
    <x v="0"/>
  </r>
  <r>
    <n v="416"/>
    <x v="1"/>
    <x v="4"/>
    <x v="4"/>
    <x v="1"/>
    <n v="710.4"/>
    <n v="13"/>
    <n v="4.0999999999999996"/>
    <x v="0"/>
    <n v="61"/>
    <x v="2"/>
    <s v="9-weeks"/>
    <x v="1"/>
  </r>
  <r>
    <n v="417"/>
    <x v="0"/>
    <x v="5"/>
    <x v="5"/>
    <x v="2"/>
    <n v="450.8"/>
    <n v="7"/>
    <n v="3.4"/>
    <x v="1"/>
    <n v="30"/>
    <x v="1"/>
    <s v="5-weeks"/>
    <x v="1"/>
  </r>
  <r>
    <n v="418"/>
    <x v="0"/>
    <x v="6"/>
    <x v="0"/>
    <x v="0"/>
    <n v="1140.5999999999999"/>
    <n v="15"/>
    <n v="4.5"/>
    <x v="0"/>
    <n v="34"/>
    <x v="0"/>
    <s v="5-weeks"/>
    <x v="1"/>
  </r>
  <r>
    <n v="419"/>
    <x v="1"/>
    <x v="7"/>
    <x v="1"/>
    <x v="1"/>
    <n v="800.9"/>
    <n v="12"/>
    <n v="4.0999999999999996"/>
    <x v="1"/>
    <n v="19"/>
    <x v="1"/>
    <s v="3-weeks"/>
    <x v="0"/>
  </r>
  <r>
    <n v="420"/>
    <x v="0"/>
    <x v="8"/>
    <x v="2"/>
    <x v="2"/>
    <n v="475.25"/>
    <n v="9"/>
    <n v="3.6"/>
    <x v="0"/>
    <n v="46"/>
    <x v="2"/>
    <s v="7-weeks"/>
    <x v="1"/>
  </r>
  <r>
    <n v="421"/>
    <x v="1"/>
    <x v="9"/>
    <x v="3"/>
    <x v="0"/>
    <n v="1480.1"/>
    <n v="21"/>
    <n v="4.9000000000000004"/>
    <x v="1"/>
    <n v="12"/>
    <x v="0"/>
    <s v="2-weeks"/>
    <x v="0"/>
  </r>
  <r>
    <n v="422"/>
    <x v="1"/>
    <x v="10"/>
    <x v="4"/>
    <x v="1"/>
    <n v="660.3"/>
    <n v="10"/>
    <n v="3.8"/>
    <x v="0"/>
    <n v="40"/>
    <x v="2"/>
    <s v="6-weeks"/>
    <x v="1"/>
  </r>
  <r>
    <n v="423"/>
    <x v="0"/>
    <x v="11"/>
    <x v="5"/>
    <x v="2"/>
    <n v="470.5"/>
    <n v="8"/>
    <n v="3"/>
    <x v="1"/>
    <n v="26"/>
    <x v="1"/>
    <s v="4-weeks"/>
    <x v="0"/>
  </r>
  <r>
    <n v="424"/>
    <x v="0"/>
    <x v="3"/>
    <x v="0"/>
    <x v="0"/>
    <n v="1190.8"/>
    <n v="16"/>
    <n v="4.5"/>
    <x v="0"/>
    <n v="27"/>
    <x v="0"/>
    <s v="4-weeks"/>
    <x v="0"/>
  </r>
  <r>
    <n v="425"/>
    <x v="1"/>
    <x v="1"/>
    <x v="1"/>
    <x v="1"/>
    <n v="780.2"/>
    <n v="11"/>
    <n v="4.2"/>
    <x v="1"/>
    <n v="18"/>
    <x v="1"/>
    <s v="3-weeks"/>
    <x v="0"/>
  </r>
  <r>
    <n v="426"/>
    <x v="0"/>
    <x v="2"/>
    <x v="2"/>
    <x v="2"/>
    <n v="515.75"/>
    <n v="10"/>
    <n v="3.3"/>
    <x v="0"/>
    <n v="47"/>
    <x v="2"/>
    <s v="7-weeks"/>
    <x v="1"/>
  </r>
  <r>
    <n v="427"/>
    <x v="1"/>
    <x v="3"/>
    <x v="3"/>
    <x v="0"/>
    <n v="1450.5"/>
    <n v="19"/>
    <n v="4.5999999999999996"/>
    <x v="1"/>
    <n v="14"/>
    <x v="0"/>
    <s v="2-weeks"/>
    <x v="0"/>
  </r>
  <r>
    <n v="428"/>
    <x v="1"/>
    <x v="4"/>
    <x v="4"/>
    <x v="1"/>
    <n v="710.4"/>
    <n v="13"/>
    <n v="4.0999999999999996"/>
    <x v="0"/>
    <n v="62"/>
    <x v="2"/>
    <s v="9-weeks"/>
    <x v="1"/>
  </r>
  <r>
    <n v="429"/>
    <x v="0"/>
    <x v="5"/>
    <x v="5"/>
    <x v="2"/>
    <n v="430.8"/>
    <n v="7"/>
    <n v="3.4"/>
    <x v="1"/>
    <n v="31"/>
    <x v="1"/>
    <s v="5-weeks"/>
    <x v="1"/>
  </r>
  <r>
    <n v="430"/>
    <x v="0"/>
    <x v="6"/>
    <x v="0"/>
    <x v="0"/>
    <n v="1160.5999999999999"/>
    <n v="15"/>
    <n v="4.5"/>
    <x v="0"/>
    <n v="35"/>
    <x v="0"/>
    <s v="5-weeks"/>
    <x v="1"/>
  </r>
  <r>
    <n v="431"/>
    <x v="1"/>
    <x v="7"/>
    <x v="1"/>
    <x v="1"/>
    <n v="820.9"/>
    <n v="12"/>
    <n v="4.3"/>
    <x v="1"/>
    <n v="20"/>
    <x v="1"/>
    <s v="3-weeks"/>
    <x v="0"/>
  </r>
  <r>
    <n v="432"/>
    <x v="0"/>
    <x v="8"/>
    <x v="2"/>
    <x v="2"/>
    <n v="495.25"/>
    <n v="9"/>
    <n v="3.6"/>
    <x v="0"/>
    <n v="47"/>
    <x v="2"/>
    <s v="7-weeks"/>
    <x v="1"/>
  </r>
  <r>
    <n v="433"/>
    <x v="1"/>
    <x v="9"/>
    <x v="3"/>
    <x v="0"/>
    <n v="1490.1"/>
    <n v="21"/>
    <n v="4.9000000000000004"/>
    <x v="1"/>
    <n v="11"/>
    <x v="0"/>
    <s v="2-weeks"/>
    <x v="0"/>
  </r>
  <r>
    <n v="434"/>
    <x v="1"/>
    <x v="10"/>
    <x v="4"/>
    <x v="1"/>
    <n v="660.3"/>
    <n v="10"/>
    <n v="3.8"/>
    <x v="0"/>
    <n v="41"/>
    <x v="2"/>
    <s v="6-weeks"/>
    <x v="1"/>
  </r>
  <r>
    <n v="435"/>
    <x v="0"/>
    <x v="11"/>
    <x v="5"/>
    <x v="2"/>
    <n v="440.5"/>
    <n v="8"/>
    <n v="3.1"/>
    <x v="1"/>
    <n v="28"/>
    <x v="1"/>
    <s v="4-weeks"/>
    <x v="0"/>
  </r>
  <r>
    <n v="436"/>
    <x v="0"/>
    <x v="3"/>
    <x v="0"/>
    <x v="0"/>
    <n v="1200.8"/>
    <n v="16"/>
    <n v="4.7"/>
    <x v="0"/>
    <n v="28"/>
    <x v="0"/>
    <s v="4-weeks"/>
    <x v="0"/>
  </r>
  <r>
    <n v="437"/>
    <x v="1"/>
    <x v="1"/>
    <x v="1"/>
    <x v="1"/>
    <n v="780.2"/>
    <n v="11"/>
    <n v="4.0999999999999996"/>
    <x v="1"/>
    <n v="19"/>
    <x v="1"/>
    <s v="3-weeks"/>
    <x v="0"/>
  </r>
  <r>
    <n v="438"/>
    <x v="0"/>
    <x v="2"/>
    <x v="2"/>
    <x v="2"/>
    <n v="505.75"/>
    <n v="10"/>
    <n v="3.3"/>
    <x v="0"/>
    <n v="48"/>
    <x v="2"/>
    <s v="7-weeks"/>
    <x v="1"/>
  </r>
  <r>
    <n v="439"/>
    <x v="1"/>
    <x v="3"/>
    <x v="3"/>
    <x v="0"/>
    <n v="1460.5"/>
    <n v="20"/>
    <n v="4.8"/>
    <x v="1"/>
    <n v="15"/>
    <x v="0"/>
    <s v="3-weeks"/>
    <x v="0"/>
  </r>
  <r>
    <n v="440"/>
    <x v="1"/>
    <x v="4"/>
    <x v="4"/>
    <x v="1"/>
    <n v="710.4"/>
    <n v="13"/>
    <n v="4.0999999999999996"/>
    <x v="0"/>
    <n v="63"/>
    <x v="2"/>
    <s v="9-weeks"/>
    <x v="1"/>
  </r>
  <r>
    <n v="441"/>
    <x v="0"/>
    <x v="5"/>
    <x v="5"/>
    <x v="2"/>
    <n v="450.8"/>
    <n v="7"/>
    <n v="3.4"/>
    <x v="1"/>
    <n v="32"/>
    <x v="1"/>
    <s v="5-weeks"/>
    <x v="1"/>
  </r>
  <r>
    <n v="442"/>
    <x v="0"/>
    <x v="6"/>
    <x v="0"/>
    <x v="0"/>
    <n v="1140.5999999999999"/>
    <n v="15"/>
    <n v="4.5"/>
    <x v="0"/>
    <n v="36"/>
    <x v="0"/>
    <s v="6-weeks"/>
    <x v="1"/>
  </r>
  <r>
    <n v="443"/>
    <x v="1"/>
    <x v="7"/>
    <x v="1"/>
    <x v="1"/>
    <n v="800.9"/>
    <n v="12"/>
    <n v="4.0999999999999996"/>
    <x v="1"/>
    <n v="20"/>
    <x v="1"/>
    <s v="3-weeks"/>
    <x v="0"/>
  </r>
  <r>
    <n v="444"/>
    <x v="0"/>
    <x v="8"/>
    <x v="2"/>
    <x v="2"/>
    <n v="475.25"/>
    <n v="9"/>
    <n v="3.6"/>
    <x v="0"/>
    <n v="48"/>
    <x v="2"/>
    <s v="7-weeks"/>
    <x v="1"/>
  </r>
  <r>
    <n v="445"/>
    <x v="1"/>
    <x v="9"/>
    <x v="3"/>
    <x v="0"/>
    <n v="1480.1"/>
    <n v="21"/>
    <n v="4.9000000000000004"/>
    <x v="1"/>
    <n v="13"/>
    <x v="0"/>
    <s v="2-weeks"/>
    <x v="0"/>
  </r>
  <r>
    <n v="446"/>
    <x v="1"/>
    <x v="10"/>
    <x v="4"/>
    <x v="1"/>
    <n v="660.3"/>
    <n v="10"/>
    <n v="3.8"/>
    <x v="0"/>
    <n v="42"/>
    <x v="2"/>
    <s v="6-weeks"/>
    <x v="1"/>
  </r>
  <r>
    <n v="447"/>
    <x v="0"/>
    <x v="11"/>
    <x v="5"/>
    <x v="2"/>
    <n v="470.5"/>
    <n v="8"/>
    <n v="3"/>
    <x v="1"/>
    <n v="27"/>
    <x v="1"/>
    <s v="4-weeks"/>
    <x v="0"/>
  </r>
  <r>
    <n v="448"/>
    <x v="0"/>
    <x v="3"/>
    <x v="0"/>
    <x v="0"/>
    <n v="1190.8"/>
    <n v="16"/>
    <n v="4.5"/>
    <x v="0"/>
    <n v="28"/>
    <x v="0"/>
    <s v="4-weeks"/>
    <x v="0"/>
  </r>
  <r>
    <n v="449"/>
    <x v="1"/>
    <x v="1"/>
    <x v="1"/>
    <x v="1"/>
    <n v="780.2"/>
    <n v="11"/>
    <n v="4.2"/>
    <x v="1"/>
    <n v="21"/>
    <x v="1"/>
    <s v="3-weeks"/>
    <x v="0"/>
  </r>
  <r>
    <n v="450"/>
    <x v="0"/>
    <x v="2"/>
    <x v="2"/>
    <x v="2"/>
    <n v="515.75"/>
    <n v="10"/>
    <n v="3.3"/>
    <x v="0"/>
    <n v="49"/>
    <x v="2"/>
    <s v="7-week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2B2D96-94B4-440B-93B1-8D443CFA76C2}"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I51:J54"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12"/>
  </rowFields>
  <rowItems count="3">
    <i>
      <x v="1"/>
    </i>
    <i>
      <x/>
    </i>
    <i t="grand">
      <x/>
    </i>
  </rowItems>
  <colItems count="1">
    <i/>
  </colItems>
  <dataFields count="1">
    <dataField name="Count of  Churn Risk" fld="12" subtotal="count" baseField="0" baseItem="0"/>
  </dataFields>
  <chartFormats count="4">
    <chartFormat chart="11"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2" count="1" selected="0">
            <x v="0"/>
          </reference>
        </references>
      </pivotArea>
    </chartFormat>
    <chartFormat chart="13"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DDB786-3BE0-427A-9B19-6AE7FF81BD3B}" name="PivotTable1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H3:I5" firstHeaderRow="1" firstDataRow="1" firstDataCol="1"/>
  <pivotFields count="13">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axis="axisRow" showAll="0">
      <items count="3">
        <item x="1"/>
        <item x="0"/>
        <item t="default"/>
      </items>
    </pivotField>
    <pivotField showAll="0"/>
    <pivotField showAll="0"/>
    <pivotField showAll="0"/>
    <pivotField showAll="0"/>
  </pivotFields>
  <rowFields count="1">
    <field x="8"/>
  </rowFields>
  <rowItems count="2">
    <i>
      <x/>
    </i>
    <i>
      <x v="1"/>
    </i>
  </rowItems>
  <colItems count="1">
    <i/>
  </colItems>
  <dataFields count="1">
    <dataField name="Sum of Total Spend" fld="5" baseField="0" baseItem="0" numFmtId="10">
      <extLst>
        <ext xmlns:x14="http://schemas.microsoft.com/office/spreadsheetml/2009/9/main" uri="{E15A36E0-9728-4e99-A89B-3F7291B0FE68}">
          <x14:dataField pivotShowAs="percentOfParentRow"/>
        </ext>
      </extLst>
    </dataField>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location ref="X3:AA6" firstHeaderRow="1" firstDataRow="2" firstDataCol="1"/>
  <pivotFields count="13">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axis="axisCol" showAll="0">
      <items count="5">
        <item x="1"/>
        <item x="0"/>
        <item h="1" m="1" x="3"/>
        <item x="2"/>
        <item t="default"/>
      </items>
    </pivotField>
    <pivotField showAll="0"/>
    <pivotField showAll="0"/>
  </pivotFields>
  <rowFields count="1">
    <field x="1"/>
  </rowFields>
  <rowItems count="2">
    <i>
      <x/>
    </i>
    <i>
      <x v="1"/>
    </i>
  </rowItems>
  <colFields count="1">
    <field x="10"/>
  </colFields>
  <colItems count="3">
    <i>
      <x/>
    </i>
    <i>
      <x v="1"/>
    </i>
    <i>
      <x v="3"/>
    </i>
  </colItems>
  <dataFields count="1">
    <dataField name="Sum of Total Spend" fld="5" baseField="0" baseItem="0"/>
  </dataFields>
  <chartFormats count="5">
    <chartFormat chart="0" format="8" series="1">
      <pivotArea type="data" outline="0" fieldPosition="0">
        <references count="1">
          <reference field="10" count="1" selected="0">
            <x v="1"/>
          </reference>
        </references>
      </pivotArea>
    </chartFormat>
    <chartFormat chart="0" format="9" series="1">
      <pivotArea type="data" outline="0" fieldPosition="0">
        <references count="1">
          <reference field="10" count="1" selected="0">
            <x v="3"/>
          </reference>
        </references>
      </pivotArea>
    </chartFormat>
    <chartFormat chart="0" format="10" series="1">
      <pivotArea type="data" outline="0" fieldPosition="0">
        <references count="1">
          <reference field="10" count="1" selected="0">
            <x v="0"/>
          </reference>
        </references>
      </pivotArea>
    </chartFormat>
    <chartFormat chart="0" format="11" series="1">
      <pivotArea type="data" outline="0" fieldPosition="0">
        <references count="2">
          <reference field="4294967294" count="1" selected="0">
            <x v="0"/>
          </reference>
          <reference field="10" count="1" selected="0">
            <x v="1"/>
          </reference>
        </references>
      </pivotArea>
    </chartFormat>
    <chartFormat chart="0" format="12"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881D39-6D71-410E-B152-57E783956989}"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52:D55" firstHeaderRow="1" firstDataRow="2" firstDataCol="1"/>
  <pivotFields count="13">
    <pivotField showAll="0"/>
    <pivotField showAll="0"/>
    <pivotField axis="axisRow" showAll="0" sortType="descending">
      <items count="5">
        <item x="2"/>
        <item x="1"/>
        <item x="3"/>
        <item x="0"/>
        <item t="default"/>
      </items>
    </pivotField>
    <pivotField showAll="0"/>
    <pivotField axis="axisCol" showAll="0">
      <items count="4">
        <item x="2"/>
        <item x="0"/>
        <item x="1"/>
        <item t="default"/>
      </items>
    </pivotField>
    <pivotField dataField="1" showAll="0"/>
    <pivotField showAll="0"/>
    <pivotField showAll="0"/>
    <pivotField showAll="0"/>
    <pivotField showAll="0"/>
    <pivotField showAll="0" sortType="ascending"/>
    <pivotField showAll="0"/>
    <pivotField showAll="0"/>
  </pivotFields>
  <rowFields count="1">
    <field x="2"/>
  </rowFields>
  <rowItems count="2">
    <i>
      <x/>
    </i>
    <i>
      <x v="1"/>
    </i>
  </rowItems>
  <colFields count="1">
    <field x="4"/>
  </colFields>
  <colItems count="3">
    <i>
      <x/>
    </i>
    <i>
      <x v="1"/>
    </i>
    <i>
      <x v="2"/>
    </i>
  </colItems>
  <dataFields count="1">
    <dataField name="Sum of Total Spend" fld="5" baseField="0" baseItem="0"/>
  </dataFields>
  <chartFormats count="9">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2"/>
          </reference>
        </references>
      </pivotArea>
    </chartFormat>
    <chartFormat chart="8" format="3" series="1">
      <pivotArea type="data" outline="0" fieldPosition="0">
        <references count="2">
          <reference field="4294967294" count="1" selected="0">
            <x v="0"/>
          </reference>
          <reference field="4" count="1" selected="0">
            <x v="0"/>
          </reference>
        </references>
      </pivotArea>
    </chartFormat>
    <chartFormat chart="8" format="4" series="1">
      <pivotArea type="data" outline="0" fieldPosition="0">
        <references count="2">
          <reference field="4294967294" count="1" selected="0">
            <x v="0"/>
          </reference>
          <reference field="4" count="1" selected="0">
            <x v="1"/>
          </reference>
        </references>
      </pivotArea>
    </chartFormat>
    <chartFormat chart="8" format="5" series="1">
      <pivotArea type="data" outline="0" fieldPosition="0">
        <references count="2">
          <reference field="4294967294" count="1" selected="0">
            <x v="0"/>
          </reference>
          <reference field="4" count="1" selected="0">
            <x v="2"/>
          </reference>
        </references>
      </pivotArea>
    </chartFormat>
    <chartFormat chart="9" format="6" series="1">
      <pivotArea type="data" outline="0" fieldPosition="0">
        <references count="2">
          <reference field="4294967294" count="1" selected="0">
            <x v="0"/>
          </reference>
          <reference field="4" count="1" selected="0">
            <x v="0"/>
          </reference>
        </references>
      </pivotArea>
    </chartFormat>
    <chartFormat chart="9" format="7" series="1">
      <pivotArea type="data" outline="0" fieldPosition="0">
        <references count="2">
          <reference field="4294967294" count="1" selected="0">
            <x v="0"/>
          </reference>
          <reference field="4" count="1" selected="0">
            <x v="1"/>
          </reference>
        </references>
      </pivotArea>
    </chartFormat>
    <chartFormat chart="9"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E74399-D34C-4CD6-BF13-EEB5E3DB3A4F}"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8">
  <location ref="A74:B80" firstHeaderRow="1" firstDataRow="1" firstDataCol="1"/>
  <pivotFields count="13">
    <pivotField showAll="0"/>
    <pivotField showAll="0"/>
    <pivotField showAll="0" sortType="descending"/>
    <pivotField axis="axisRow" showAll="0" sortType="a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sortType="ascending"/>
    <pivotField showAll="0"/>
    <pivotField showAll="0"/>
  </pivotFields>
  <rowFields count="1">
    <field x="3"/>
  </rowFields>
  <rowItems count="6">
    <i>
      <x v="1"/>
    </i>
    <i>
      <x/>
    </i>
    <i>
      <x v="3"/>
    </i>
    <i>
      <x v="2"/>
    </i>
    <i>
      <x v="4"/>
    </i>
    <i>
      <x v="5"/>
    </i>
  </rowItems>
  <colItems count="1">
    <i/>
  </colItems>
  <dataFields count="1">
    <dataField name="Sum of Total Spend" fld="5" baseField="0" baseItem="0" numFmtId="165"/>
  </dataFields>
  <formats count="6">
    <format dxfId="5">
      <pivotArea collapsedLevelsAreSubtotals="1" fieldPosition="0">
        <references count="1">
          <reference field="3" count="1">
            <x v="1"/>
          </reference>
        </references>
      </pivotArea>
    </format>
    <format dxfId="4">
      <pivotArea collapsedLevelsAreSubtotals="1" fieldPosition="0">
        <references count="1">
          <reference field="3" count="1">
            <x v="0"/>
          </reference>
        </references>
      </pivotArea>
    </format>
    <format dxfId="3">
      <pivotArea collapsedLevelsAreSubtotals="1" fieldPosition="0">
        <references count="1">
          <reference field="3" count="1">
            <x v="3"/>
          </reference>
        </references>
      </pivotArea>
    </format>
    <format dxfId="2">
      <pivotArea collapsedLevelsAreSubtotals="1" fieldPosition="0">
        <references count="1">
          <reference field="3" count="1">
            <x v="4"/>
          </reference>
        </references>
      </pivotArea>
    </format>
    <format dxfId="1">
      <pivotArea collapsedLevelsAreSubtotals="1" fieldPosition="0">
        <references count="1">
          <reference field="3" count="1">
            <x v="5"/>
          </reference>
        </references>
      </pivotArea>
    </format>
    <format dxfId="0">
      <pivotArea outline="0" collapsedLevelsAreSubtotals="1"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E2D871-3BD1-4AD2-8C2A-675C3BAACB77}"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7">
  <location ref="X84:AA88" firstHeaderRow="1" firstDataRow="2" firstDataCol="1"/>
  <pivotFields count="13">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axis="axisCol" showAll="0">
      <items count="5">
        <item x="2"/>
        <item x="1"/>
        <item x="3"/>
        <item x="0"/>
        <item t="default"/>
      </items>
    </pivotField>
    <pivotField showAll="0"/>
    <pivotField showAll="0"/>
    <pivotField dataField="1" showAll="0"/>
    <pivotField showAll="0"/>
    <pivotField showAll="0"/>
    <pivotField showAll="0"/>
    <pivotField showAll="0"/>
    <pivotField showAll="0" sortType="ascending"/>
    <pivotField showAll="0"/>
    <pivotField showAll="0"/>
  </pivotFields>
  <rowFields count="1">
    <field x="1"/>
  </rowFields>
  <rowItems count="3">
    <i>
      <x v="1"/>
    </i>
    <i>
      <x/>
    </i>
    <i t="grand">
      <x/>
    </i>
  </rowItems>
  <colFields count="1">
    <field x="2"/>
  </colFields>
  <colItems count="3">
    <i>
      <x/>
    </i>
    <i>
      <x v="1"/>
    </i>
    <i t="grand">
      <x/>
    </i>
  </colItems>
  <dataFields count="1">
    <dataField name="Sum of Total Spend" fld="5" showDataAs="percentOfTotal" baseField="0" baseItem="0" numFmtId="10"/>
  </dataFields>
  <chartFormats count="5">
    <chartFormat chart="57"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 chart="63" format="3" series="1">
      <pivotArea type="data" outline="0" fieldPosition="0">
        <references count="2">
          <reference field="4294967294" count="1" selected="0">
            <x v="0"/>
          </reference>
          <reference field="2" count="1" selected="0">
            <x v="0"/>
          </reference>
        </references>
      </pivotArea>
    </chartFormat>
    <chartFormat chart="63" format="4"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B608FC-0FBD-4DF6-BA60-2142ACB47FBD}" name="PivotTable1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5">
  <location ref="X108:Z112" firstHeaderRow="1" firstDataRow="2" firstDataCol="1"/>
  <pivotFields count="13">
    <pivotField showAll="0"/>
    <pivotField axis="axisCol" showAll="0" sortType="descending">
      <items count="3">
        <item x="0"/>
        <item x="1"/>
        <item t="default"/>
      </items>
      <autoSortScope>
        <pivotArea dataOnly="0" outline="0" fieldPosition="0">
          <references count="1">
            <reference field="4294967294" count="1" selected="0">
              <x v="0"/>
            </reference>
          </references>
        </pivotArea>
      </autoSortScope>
    </pivotField>
    <pivotField showAll="0">
      <items count="5">
        <item h="1" x="0"/>
        <item h="1" x="1"/>
        <item x="2"/>
        <item h="1" x="3"/>
        <item t="default"/>
      </items>
    </pivotField>
    <pivotField axis="axisRow" showAll="0">
      <items count="7">
        <item x="2"/>
        <item x="5"/>
        <item x="1"/>
        <item x="4"/>
        <item x="0"/>
        <item x="3"/>
        <item t="default"/>
      </items>
    </pivotField>
    <pivotField showAll="0"/>
    <pivotField dataField="1" showAll="0"/>
    <pivotField showAll="0"/>
    <pivotField showAll="0"/>
    <pivotField showAll="0"/>
    <pivotField showAll="0"/>
    <pivotField showAll="0" sortType="ascending"/>
    <pivotField showAll="0"/>
    <pivotField showAll="0"/>
  </pivotFields>
  <rowFields count="1">
    <field x="3"/>
  </rowFields>
  <rowItems count="3">
    <i>
      <x/>
    </i>
    <i>
      <x v="1"/>
    </i>
    <i>
      <x v="5"/>
    </i>
  </rowItems>
  <colFields count="1">
    <field x="1"/>
  </colFields>
  <colItems count="2">
    <i>
      <x/>
    </i>
    <i>
      <x v="1"/>
    </i>
  </colItems>
  <dataFields count="1">
    <dataField name="Sum of Total Spend" fld="5" baseField="0" baseItem="0"/>
  </dataFields>
  <chartFormats count="5">
    <chartFormat chart="57"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 chart="69" format="0" series="1">
      <pivotArea type="data" outline="0" fieldPosition="0">
        <references count="2">
          <reference field="4294967294" count="1" selected="0">
            <x v="0"/>
          </reference>
          <reference field="1" count="1" selected="0">
            <x v="1"/>
          </reference>
        </references>
      </pivotArea>
    </chartFormat>
    <chartFormat chart="69" format="1"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DA376C-2B9D-437E-BD34-BDDA23C8B83D}" name="PivotTable2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8">
  <location ref="J121:L125" firstHeaderRow="1" firstDataRow="2" firstDataCol="1" rowPageCount="1" colPageCount="1"/>
  <pivotFields count="13">
    <pivotField showAll="0"/>
    <pivotField showAll="0"/>
    <pivotField axis="axisPage" multipleItemSelectionAllowed="1" showAll="0">
      <items count="5">
        <item h="1" x="0"/>
        <item h="1" x="1"/>
        <item x="2"/>
        <item h="1" x="3"/>
        <item t="default"/>
      </items>
    </pivotField>
    <pivotField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items count="5">
        <item x="1"/>
        <item x="0"/>
        <item m="1" x="3"/>
        <item x="2"/>
        <item t="default"/>
      </items>
    </pivotField>
    <pivotField showAll="0"/>
    <pivotField axis="axisCol" dataField="1"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10"/>
  </rowFields>
  <rowItems count="3">
    <i>
      <x/>
    </i>
    <i>
      <x v="1"/>
    </i>
    <i>
      <x v="3"/>
    </i>
  </rowItems>
  <colFields count="1">
    <field x="12"/>
  </colFields>
  <colItems count="2">
    <i>
      <x/>
    </i>
    <i>
      <x v="1"/>
    </i>
  </colItems>
  <pageFields count="1">
    <pageField fld="2" hier="-1"/>
  </pageFields>
  <dataFields count="1">
    <dataField name="Count of  Churn Risk" fld="12" subtotal="count" showDataAs="percentOfTotal" baseField="0" baseItem="0" numFmtId="9"/>
  </dataFields>
  <formats count="1">
    <format dxfId="6">
      <pivotArea outline="0" collapsedLevelsAreSubtotals="1" fieldPosition="0"/>
    </format>
  </formats>
  <chartFormats count="11">
    <chartFormat chart="11"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0" series="1">
      <pivotArea type="data" outline="0" fieldPosition="0">
        <references count="2">
          <reference field="4294967294" count="1" selected="0">
            <x v="0"/>
          </reference>
          <reference field="12" count="1" selected="0">
            <x v="1"/>
          </reference>
        </references>
      </pivotArea>
    </chartFormat>
    <chartFormat chart="30" format="1" series="1">
      <pivotArea type="data" outline="0" fieldPosition="0">
        <references count="2">
          <reference field="4294967294" count="1" selected="0">
            <x v="0"/>
          </reference>
          <reference field="12" count="1" selected="0">
            <x v="0"/>
          </reference>
        </references>
      </pivotArea>
    </chartFormat>
    <chartFormat chart="35" format="0" series="1">
      <pivotArea type="data" outline="0" fieldPosition="0">
        <references count="2">
          <reference field="4294967294" count="1" selected="0">
            <x v="0"/>
          </reference>
          <reference field="12" count="1" selected="0">
            <x v="0"/>
          </reference>
        </references>
      </pivotArea>
    </chartFormat>
    <chartFormat chart="35" format="1" series="1">
      <pivotArea type="data" outline="0" fieldPosition="0">
        <references count="2">
          <reference field="4294967294" count="1" selected="0">
            <x v="0"/>
          </reference>
          <reference field="12" count="1" selected="0">
            <x v="1"/>
          </reference>
        </references>
      </pivotArea>
    </chartFormat>
    <chartFormat chart="36" format="2" series="1">
      <pivotArea type="data" outline="0" fieldPosition="0">
        <references count="2">
          <reference field="4294967294" count="1" selected="0">
            <x v="0"/>
          </reference>
          <reference field="12" count="1" selected="0">
            <x v="0"/>
          </reference>
        </references>
      </pivotArea>
    </chartFormat>
    <chartFormat chart="36" format="3" series="1">
      <pivotArea type="data" outline="0" fieldPosition="0">
        <references count="2">
          <reference field="4294967294" count="1" selected="0">
            <x v="0"/>
          </reference>
          <reference field="12" count="1" selected="0">
            <x v="1"/>
          </reference>
        </references>
      </pivotArea>
    </chartFormat>
    <chartFormat chart="37" format="4" series="1">
      <pivotArea type="data" outline="0" fieldPosition="0">
        <references count="2">
          <reference field="4294967294" count="1" selected="0">
            <x v="0"/>
          </reference>
          <reference field="12" count="1" selected="0">
            <x v="0"/>
          </reference>
        </references>
      </pivotArea>
    </chartFormat>
    <chartFormat chart="37"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4A2586-4EE2-4BFE-B2F2-1859A82A10E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2">
  <location ref="X27:Y30" firstHeaderRow="1" firstDataRow="1" firstDataCol="1"/>
  <pivotFields count="13">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sortType="ascending"/>
    <pivotField showAll="0"/>
    <pivotField showAll="0"/>
  </pivotFields>
  <rowFields count="1">
    <field x="1"/>
  </rowFields>
  <rowItems count="3">
    <i>
      <x/>
    </i>
    <i>
      <x v="1"/>
    </i>
    <i t="grand">
      <x/>
    </i>
  </rowItems>
  <colItems count="1">
    <i/>
  </colItems>
  <dataFields count="1">
    <dataField name="Count of Customer ID" fld="0" subtotal="count" baseField="0" baseItem="0"/>
  </dataFields>
  <formats count="1">
    <format dxfId="7">
      <pivotArea outline="0" collapsedLevelsAreSubtotals="1" fieldPosition="0"/>
    </format>
  </formats>
  <chartFormats count="1">
    <chartFormat chart="4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1CDB8A-55AC-4AB8-BD9E-61A8DD51112A}"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0:D33" firstHeaderRow="1" firstDataRow="2" firstDataCol="1"/>
  <pivotFields count="13">
    <pivotField showAll="0"/>
    <pivotField showAll="0"/>
    <pivotField axis="axisRow" showAll="0" sortType="descending">
      <items count="5">
        <item x="2"/>
        <item x="1"/>
        <item x="3"/>
        <item x="0"/>
        <item t="default"/>
      </items>
    </pivotField>
    <pivotField showAll="0"/>
    <pivotField showAll="0"/>
    <pivotField dataField="1" showAll="0"/>
    <pivotField showAll="0"/>
    <pivotField showAll="0"/>
    <pivotField showAll="0"/>
    <pivotField showAll="0"/>
    <pivotField axis="axisCol" showAll="0" sortType="ascending">
      <items count="5">
        <item x="1"/>
        <item x="0"/>
        <item h="1" m="1" x="3"/>
        <item x="2"/>
        <item t="default"/>
      </items>
    </pivotField>
    <pivotField showAll="0"/>
    <pivotField showAll="0"/>
  </pivotFields>
  <rowFields count="1">
    <field x="2"/>
  </rowFields>
  <rowItems count="2">
    <i>
      <x/>
    </i>
    <i>
      <x v="1"/>
    </i>
  </rowItems>
  <colFields count="1">
    <field x="10"/>
  </colFields>
  <colItems count="3">
    <i>
      <x/>
    </i>
    <i>
      <x v="1"/>
    </i>
    <i>
      <x v="3"/>
    </i>
  </colItems>
  <dataFields count="1">
    <dataField name="Sum of Total Spend" fld="5" baseField="0" baseItem="0"/>
  </dataFields>
  <chartFormats count="3">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FF25AF-36CA-4A96-82C8-2960F62F7B09}"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I71:L79" firstHeaderRow="1" firstDataRow="2" firstDataCol="1"/>
  <pivotFields count="13">
    <pivotField showAll="0"/>
    <pivotField showAll="0"/>
    <pivotField showAll="0"/>
    <pivotField axis="axisRow"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Col" dataField="1"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3"/>
  </rowFields>
  <rowItems count="7">
    <i>
      <x v="4"/>
    </i>
    <i>
      <x v="2"/>
    </i>
    <i>
      <x v="5"/>
    </i>
    <i>
      <x v="1"/>
    </i>
    <i>
      <x/>
    </i>
    <i>
      <x v="3"/>
    </i>
    <i t="grand">
      <x/>
    </i>
  </rowItems>
  <colFields count="1">
    <field x="12"/>
  </colFields>
  <colItems count="3">
    <i>
      <x v="1"/>
    </i>
    <i>
      <x/>
    </i>
    <i t="grand">
      <x/>
    </i>
  </colItems>
  <dataFields count="1">
    <dataField name="Count of  Churn Risk" fld="12" subtotal="count" showDataAs="percentOfRow" baseField="0" baseItem="0" numFmtId="9"/>
  </dataFields>
  <formats count="1">
    <format dxfId="8">
      <pivotArea outline="0" collapsedLevelsAreSubtotals="1" fieldPosition="0"/>
    </format>
  </formats>
  <chartFormats count="3">
    <chartFormat chart="11"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176E2A-E40B-4CB9-A9BC-958583A5CF33}"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0">
  <location ref="A121:C128" firstHeaderRow="1" firstDataRow="2" firstDataCol="1"/>
  <pivotFields count="13">
    <pivotField showAll="0"/>
    <pivotField showAll="0"/>
    <pivotField axis="axisCol" showAll="0" sortType="descending">
      <items count="5">
        <item x="2"/>
        <item x="1"/>
        <item x="3"/>
        <item x="0"/>
        <item t="default"/>
      </items>
    </pivotField>
    <pivotField axis="axisRow" showAll="0">
      <items count="7">
        <item x="2"/>
        <item x="5"/>
        <item x="1"/>
        <item x="4"/>
        <item x="0"/>
        <item x="3"/>
        <item t="default"/>
      </items>
    </pivotField>
    <pivotField showAll="0"/>
    <pivotField dataField="1" showAll="0"/>
    <pivotField showAll="0"/>
    <pivotField showAll="0"/>
    <pivotField showAll="0"/>
    <pivotField showAll="0"/>
    <pivotField showAll="0" sortType="ascending"/>
    <pivotField showAll="0"/>
    <pivotField showAll="0"/>
  </pivotFields>
  <rowFields count="1">
    <field x="3"/>
  </rowFields>
  <rowItems count="6">
    <i>
      <x/>
    </i>
    <i>
      <x v="1"/>
    </i>
    <i>
      <x v="2"/>
    </i>
    <i>
      <x v="3"/>
    </i>
    <i>
      <x v="4"/>
    </i>
    <i>
      <x v="5"/>
    </i>
  </rowItems>
  <colFields count="1">
    <field x="2"/>
  </colFields>
  <colItems count="2">
    <i>
      <x/>
    </i>
    <i>
      <x v="1"/>
    </i>
  </colItems>
  <dataFields count="1">
    <dataField name="Sum of Total Spend" fld="5" baseField="0" baseItem="0" numFmtId="165"/>
  </dataFields>
  <formats count="1">
    <format dxfId="9">
      <pivotArea outline="0" collapsedLevelsAreSubtotals="1" fieldPosition="0"/>
    </format>
  </formats>
  <chartFormats count="3">
    <chartFormat chart="15" format="0" series="1">
      <pivotArea type="data" outline="0" fieldPosition="0">
        <references count="1">
          <reference field="4294967294" count="1" selected="0">
            <x v="0"/>
          </reference>
        </references>
      </pivotArea>
    </chartFormat>
    <chartFormat chart="27" format="0" series="1">
      <pivotArea type="data" outline="0" fieldPosition="0">
        <references count="2">
          <reference field="4294967294" count="1" selected="0">
            <x v="0"/>
          </reference>
          <reference field="2" count="1" selected="0">
            <x v="0"/>
          </reference>
        </references>
      </pivotArea>
    </chartFormat>
    <chartFormat chart="27"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DE7A27-C010-4D55-9519-0037AE8CC195}"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location ref="A150:D158" firstHeaderRow="1" firstDataRow="2" firstDataCol="1"/>
  <pivotFields count="13">
    <pivotField dataField="1" showAll="0"/>
    <pivotField showAll="0"/>
    <pivotField axis="axisCol" showAll="0">
      <items count="5">
        <item x="2"/>
        <item x="1"/>
        <item x="3"/>
        <item x="0"/>
        <item t="default"/>
      </items>
    </pivotField>
    <pivotField axis="axisRow"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ascending"/>
    <pivotField showAll="0"/>
    <pivotField showAll="0"/>
  </pivotFields>
  <rowFields count="1">
    <field x="3"/>
  </rowFields>
  <rowItems count="7">
    <i>
      <x v="4"/>
    </i>
    <i>
      <x v="2"/>
    </i>
    <i>
      <x v="5"/>
    </i>
    <i>
      <x v="1"/>
    </i>
    <i>
      <x/>
    </i>
    <i>
      <x v="3"/>
    </i>
    <i t="grand">
      <x/>
    </i>
  </rowItems>
  <colFields count="1">
    <field x="2"/>
  </colFields>
  <colItems count="3">
    <i>
      <x/>
    </i>
    <i>
      <x v="1"/>
    </i>
    <i t="grand">
      <x/>
    </i>
  </colItems>
  <dataFields count="1">
    <dataField name="Count of Customer ID" fld="0" subtotal="count" baseField="0" baseItem="0" numFmtId="2"/>
  </dataFields>
  <formats count="2">
    <format dxfId="11">
      <pivotArea collapsedLevelsAreSubtotals="1" fieldPosition="0">
        <references count="2">
          <reference field="2" count="1" selected="0">
            <x v="0"/>
          </reference>
          <reference field="3" count="1">
            <x v="0"/>
          </reference>
        </references>
      </pivotArea>
    </format>
    <format dxfId="10">
      <pivotArea outline="0" collapsedLevelsAreSubtotals="1" fieldPosition="0"/>
    </format>
  </formats>
  <chartFormats count="6">
    <chartFormat chart="34" format="0" series="1">
      <pivotArea type="data" outline="0" fieldPosition="0">
        <references count="2">
          <reference field="4294967294" count="1" selected="0">
            <x v="0"/>
          </reference>
          <reference field="2" count="1" selected="0">
            <x v="1"/>
          </reference>
        </references>
      </pivotArea>
    </chartFormat>
    <chartFormat chart="34" format="1" series="1">
      <pivotArea type="data" outline="0" fieldPosition="0">
        <references count="2">
          <reference field="4294967294" count="1" selected="0">
            <x v="0"/>
          </reference>
          <reference field="2" count="1" selected="0">
            <x v="0"/>
          </reference>
        </references>
      </pivotArea>
    </chartFormat>
    <chartFormat chart="35" format="2" series="1">
      <pivotArea type="data" outline="0" fieldPosition="0">
        <references count="2">
          <reference field="4294967294" count="1" selected="0">
            <x v="0"/>
          </reference>
          <reference field="2" count="1" selected="0">
            <x v="0"/>
          </reference>
        </references>
      </pivotArea>
    </chartFormat>
    <chartFormat chart="35" format="3" series="1">
      <pivotArea type="data" outline="0" fieldPosition="0">
        <references count="2">
          <reference field="4294967294" count="1" selected="0">
            <x v="0"/>
          </reference>
          <reference field="2" count="1" selected="0">
            <x v="1"/>
          </reference>
        </references>
      </pivotArea>
    </chartFormat>
    <chartFormat chart="36" format="4" series="1">
      <pivotArea type="data" outline="0" fieldPosition="0">
        <references count="2">
          <reference field="4294967294" count="1" selected="0">
            <x v="0"/>
          </reference>
          <reference field="2" count="1" selected="0">
            <x v="0"/>
          </reference>
        </references>
      </pivotArea>
    </chartFormat>
    <chartFormat chart="3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17DA66-4778-40F8-AC6C-61080FE4AA36}" name="PivotTable1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3">
  <location ref="I99:K102" firstHeaderRow="1" firstDataRow="2" firstDataCol="1"/>
  <pivotFields count="13">
    <pivotField showAll="0"/>
    <pivotField showAll="0"/>
    <pivotField axis="axisRow" showAll="0">
      <items count="5">
        <item x="0"/>
        <item x="1"/>
        <item x="2"/>
        <item x="3"/>
        <item t="default"/>
      </items>
    </pivotField>
    <pivotField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Col" dataField="1"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2"/>
  </rowFields>
  <rowItems count="2">
    <i>
      <x v="1"/>
    </i>
    <i>
      <x v="2"/>
    </i>
  </rowItems>
  <colFields count="1">
    <field x="12"/>
  </colFields>
  <colItems count="2">
    <i>
      <x v="1"/>
    </i>
    <i>
      <x/>
    </i>
  </colItems>
  <dataFields count="1">
    <dataField name="Count of  Churn Risk" fld="12" subtotal="count" showDataAs="percentOfRow" baseField="0" baseItem="0" numFmtId="9"/>
  </dataFields>
  <formats count="1">
    <format dxfId="12">
      <pivotArea outline="0" collapsedLevelsAreSubtotals="1" fieldPosition="0"/>
    </format>
  </formats>
  <chartFormats count="5">
    <chartFormat chart="11"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0" series="1">
      <pivotArea type="data" outline="0" fieldPosition="0">
        <references count="2">
          <reference field="4294967294" count="1" selected="0">
            <x v="0"/>
          </reference>
          <reference field="12" count="1" selected="0">
            <x v="1"/>
          </reference>
        </references>
      </pivotArea>
    </chartFormat>
    <chartFormat chart="30" format="1"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2889E0-305F-478B-9697-BCD68E93DF21}" name="PivotTable1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I25:K32" firstHeaderRow="1" firstDataRow="2" firstDataCol="1"/>
  <pivotFields count="13">
    <pivotField showAll="0"/>
    <pivotField showAll="0"/>
    <pivotField showAll="0"/>
    <pivotField axis="axisRow"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axis="axisCol" showAll="0">
      <items count="3">
        <item x="1"/>
        <item x="0"/>
        <item t="default"/>
      </items>
    </pivotField>
    <pivotField showAll="0"/>
    <pivotField showAll="0"/>
    <pivotField showAll="0"/>
    <pivotField showAll="0"/>
  </pivotFields>
  <rowFields count="1">
    <field x="3"/>
  </rowFields>
  <rowItems count="6">
    <i>
      <x v="5"/>
    </i>
    <i>
      <x v="4"/>
    </i>
    <i>
      <x v="2"/>
    </i>
    <i>
      <x v="3"/>
    </i>
    <i>
      <x/>
    </i>
    <i>
      <x v="1"/>
    </i>
  </rowItems>
  <colFields count="1">
    <field x="8"/>
  </colFields>
  <colItems count="2">
    <i>
      <x/>
    </i>
    <i>
      <x v="1"/>
    </i>
  </colItems>
  <dataFields count="1">
    <dataField name="Sum of Total Spend" fld="5" baseField="0" baseItem="0"/>
  </dataFields>
  <chartFormats count="3">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9FA267E-F5A7-4E67-BFB1-4FB1D0B51E3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2">
  <location ref="X46:Y49" firstHeaderRow="1" firstDataRow="1" firstDataCol="1"/>
  <pivotFields count="13">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sortType="ascending"/>
    <pivotField showAll="0"/>
    <pivotField showAll="0"/>
  </pivotFields>
  <rowFields count="1">
    <field x="1"/>
  </rowFields>
  <rowItems count="3">
    <i>
      <x v="1"/>
    </i>
    <i>
      <x/>
    </i>
    <i t="grand">
      <x/>
    </i>
  </rowItems>
  <colItems count="1">
    <i/>
  </colItems>
  <dataFields count="1">
    <dataField name="Sum of Total Spend" fld="5" baseField="0" baseItem="0"/>
  </dataFields>
  <chartFormats count="4">
    <chartFormat chart="57"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59" format="1">
      <pivotArea type="data" outline="0" fieldPosition="0">
        <references count="2">
          <reference field="4294967294" count="1" selected="0">
            <x v="0"/>
          </reference>
          <reference field="1" count="1" selected="0">
            <x v="1"/>
          </reference>
        </references>
      </pivotArea>
    </chartFormat>
    <chartFormat chart="59" format="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E5647F-2E4A-4ABA-BBA4-738509B55FCE}"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5">
  <location ref="A98:D105" firstHeaderRow="1" firstDataRow="2" firstDataCol="1"/>
  <pivotFields count="13">
    <pivotField showAll="0"/>
    <pivotField showAll="0"/>
    <pivotField showAll="0" sortType="descending"/>
    <pivotField axis="axisRow" showAll="0">
      <items count="7">
        <item x="2"/>
        <item x="5"/>
        <item x="1"/>
        <item x="4"/>
        <item x="0"/>
        <item x="3"/>
        <item t="default"/>
      </items>
    </pivotField>
    <pivotField axis="axisCol" showAll="0">
      <items count="4">
        <item x="2"/>
        <item x="0"/>
        <item x="1"/>
        <item t="default"/>
      </items>
    </pivotField>
    <pivotField dataField="1" showAll="0"/>
    <pivotField showAll="0"/>
    <pivotField showAll="0"/>
    <pivotField showAll="0"/>
    <pivotField showAll="0"/>
    <pivotField showAll="0" sortType="ascending"/>
    <pivotField showAll="0"/>
    <pivotField showAll="0"/>
  </pivotFields>
  <rowFields count="1">
    <field x="3"/>
  </rowFields>
  <rowItems count="6">
    <i>
      <x/>
    </i>
    <i>
      <x v="1"/>
    </i>
    <i>
      <x v="2"/>
    </i>
    <i>
      <x v="3"/>
    </i>
    <i>
      <x v="4"/>
    </i>
    <i>
      <x v="5"/>
    </i>
  </rowItems>
  <colFields count="1">
    <field x="4"/>
  </colFields>
  <colItems count="3">
    <i>
      <x/>
    </i>
    <i>
      <x v="1"/>
    </i>
    <i>
      <x v="2"/>
    </i>
  </colItems>
  <dataFields count="1">
    <dataField name="Sum of Total Spend" fld="5" baseField="0" baseItem="0" numFmtId="165"/>
  </dataFields>
  <formats count="6">
    <format dxfId="18">
      <pivotArea collapsedLevelsAreSubtotals="1" fieldPosition="0">
        <references count="1">
          <reference field="3" count="1">
            <x v="1"/>
          </reference>
        </references>
      </pivotArea>
    </format>
    <format dxfId="17">
      <pivotArea collapsedLevelsAreSubtotals="1" fieldPosition="0">
        <references count="1">
          <reference field="3" count="1">
            <x v="0"/>
          </reference>
        </references>
      </pivotArea>
    </format>
    <format dxfId="16">
      <pivotArea collapsedLevelsAreSubtotals="1" fieldPosition="0">
        <references count="1">
          <reference field="3" count="1">
            <x v="3"/>
          </reference>
        </references>
      </pivotArea>
    </format>
    <format dxfId="15">
      <pivotArea collapsedLevelsAreSubtotals="1" fieldPosition="0">
        <references count="1">
          <reference field="3" count="1">
            <x v="4"/>
          </reference>
        </references>
      </pivotArea>
    </format>
    <format dxfId="14">
      <pivotArea collapsedLevelsAreSubtotals="1" fieldPosition="0">
        <references count="1">
          <reference field="3" count="1">
            <x v="5"/>
          </reference>
        </references>
      </pivotArea>
    </format>
    <format dxfId="13">
      <pivotArea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22" format="0" series="1">
      <pivotArea type="data" outline="0" fieldPosition="0">
        <references count="2">
          <reference field="4294967294" count="1" selected="0">
            <x v="0"/>
          </reference>
          <reference field="4" count="1" selected="0">
            <x v="0"/>
          </reference>
        </references>
      </pivotArea>
    </chartFormat>
    <chartFormat chart="22" format="1" series="1">
      <pivotArea type="data" outline="0" fieldPosition="0">
        <references count="2">
          <reference field="4294967294" count="1" selected="0">
            <x v="0"/>
          </reference>
          <reference field="4" count="1" selected="0">
            <x v="1"/>
          </reference>
        </references>
      </pivotArea>
    </chartFormat>
    <chartFormat chart="22"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location ref="P3:S7" firstHeaderRow="1" firstDataRow="2" firstDataCol="1"/>
  <pivotFields count="13">
    <pivotField showAll="0"/>
    <pivotField showAll="0"/>
    <pivotField showAll="0"/>
    <pivotField showAll="0"/>
    <pivotField axis="axisRow" showAll="0" sortType="descending">
      <items count="4">
        <item x="2"/>
        <item x="0"/>
        <item x="1"/>
        <item t="default"/>
      </items>
      <autoSortScope>
        <pivotArea dataOnly="0" outline="0" fieldPosition="0">
          <references count="2">
            <reference field="4294967294" count="1" selected="0">
              <x v="0"/>
            </reference>
            <reference field="10" count="1" selected="0">
              <x v="3"/>
            </reference>
          </references>
        </pivotArea>
      </autoSortScope>
    </pivotField>
    <pivotField dataField="1" showAll="0"/>
    <pivotField showAll="0"/>
    <pivotField showAll="0"/>
    <pivotField showAll="0"/>
    <pivotField showAll="0"/>
    <pivotField axis="axisCol" showAll="0">
      <items count="5">
        <item x="1"/>
        <item x="0"/>
        <item h="1" m="1" x="3"/>
        <item x="2"/>
        <item t="default"/>
      </items>
    </pivotField>
    <pivotField showAll="0"/>
    <pivotField showAll="0"/>
  </pivotFields>
  <rowFields count="1">
    <field x="4"/>
  </rowFields>
  <rowItems count="3">
    <i>
      <x v="2"/>
    </i>
    <i>
      <x/>
    </i>
    <i>
      <x v="1"/>
    </i>
  </rowItems>
  <colFields count="1">
    <field x="10"/>
  </colFields>
  <colItems count="3">
    <i>
      <x/>
    </i>
    <i>
      <x v="1"/>
    </i>
    <i>
      <x v="3"/>
    </i>
  </colItems>
  <dataFields count="1">
    <dataField name="Sum of Total Spend" fld="5"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location ref="A3:D10" firstHeaderRow="1" firstDataRow="2" firstDataCol="1"/>
  <pivotFields count="13">
    <pivotField showAll="0"/>
    <pivotField showAll="0"/>
    <pivotField showAll="0"/>
    <pivotField axis="axisRow" showAll="0" sortType="descending">
      <items count="7">
        <item x="2"/>
        <item x="5"/>
        <item x="1"/>
        <item x="4"/>
        <item x="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axis="axisCol" showAll="0">
      <items count="5">
        <item x="1"/>
        <item x="0"/>
        <item h="1" m="1" x="3"/>
        <item x="2"/>
        <item t="default"/>
      </items>
    </pivotField>
    <pivotField showAll="0"/>
    <pivotField showAll="0"/>
  </pivotFields>
  <rowFields count="1">
    <field x="3"/>
  </rowFields>
  <rowItems count="6">
    <i>
      <x v="5"/>
    </i>
    <i>
      <x v="4"/>
    </i>
    <i>
      <x v="2"/>
    </i>
    <i>
      <x v="3"/>
    </i>
    <i>
      <x/>
    </i>
    <i>
      <x v="1"/>
    </i>
  </rowItems>
  <colFields count="1">
    <field x="10"/>
  </colFields>
  <colItems count="3">
    <i>
      <x/>
    </i>
    <i>
      <x v="1"/>
    </i>
    <i>
      <x v="3"/>
    </i>
  </colItems>
  <dataFields count="1">
    <dataField name="Sum of Total Spend" fld="5"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34E54FF-C7EC-48AC-BC1E-C4AB538C410D}" sourceName="Age">
  <pivotTables>
    <pivotTable tabId="4" name="PivotTable13"/>
  </pivotTables>
  <data>
    <tabular pivotCacheId="850213857">
      <items count="4">
        <i x="1"/>
        <i x="2" s="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F81965BB-B9C8-4624-992F-62A81593E463}" cache="Slicer_Age" caption="A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A0B5A3-3C0D-44D2-A421-6AA707896656}" name="Table15" displayName="Table15" ref="A1:M351" totalsRowShown="0">
  <autoFilter ref="A1:M351" xr:uid="{00000000-0009-0000-0100-000001000000}"/>
  <tableColumns count="13">
    <tableColumn id="1" xr3:uid="{EF3F681F-4E1F-4731-95D4-7AA70086630C}" name="Customer ID"/>
    <tableColumn id="2" xr3:uid="{52770531-4036-4805-B687-C85A734E5FAD}" name="Gender"/>
    <tableColumn id="3" xr3:uid="{5DD2B47D-F2DD-43C6-8B54-B65281D46DE6}" name="Age"/>
    <tableColumn id="4" xr3:uid="{7CF18B9A-8990-40B1-9A7C-D909174C5D87}" name="City"/>
    <tableColumn id="5" xr3:uid="{6B099B1A-B39C-46F7-BA02-B083AD5A67D3}" name="Membership Type"/>
    <tableColumn id="6" xr3:uid="{75DD4F0A-9AEE-408C-8A5B-EC30B5F4FD00}" name="Total Spend" dataDxfId="30"/>
    <tableColumn id="7" xr3:uid="{636674ED-FE6F-4988-9914-90B0FDABA3E5}" name="Items Purchased"/>
    <tableColumn id="8" xr3:uid="{4FC76908-3E13-41CD-B3F2-18AFB4EC2AD6}" name="Average Rating"/>
    <tableColumn id="9" xr3:uid="{E8BB75EF-299E-4093-A80D-733EF2AD5F89}" name="Discount Applied"/>
    <tableColumn id="10" xr3:uid="{2901E60B-4A23-4EB5-95BA-B6F5986AC5E2}" name="Days Since Last Purchase" dataDxfId="29"/>
    <tableColumn id="11" xr3:uid="{6B10BE41-F2C6-4DF0-B987-F69EEBEF886B}" name="Satisfaction Level"/>
    <tableColumn id="12" xr3:uid="{F5291E86-BAA9-4B08-B005-EE962E729E8D}" name="DSLP in weeks" dataDxfId="28">
      <calculatedColumnFormula>_xlfn.IFS(J2&lt;=7,"1-week",J2&lt;=14,"2-weeks", J2&lt;=21,"3-weeks",J2&lt;=28,"4-weeks",J2&lt;=35,"5-weeks",J2&lt;=42,"6-weeks",J2&lt;=49,"7-weeks",J2&lt;=56,"8-weeks",J2&lt;=63,"9-weeks")</calculatedColumnFormula>
    </tableColumn>
    <tableColumn id="13" xr3:uid="{F7882887-A807-4817-B497-07D0FCFB0802}" name=" Churn Risk" dataDxfId="27">
      <calculatedColumnFormula>IF(J2&gt;28, "At Risk", "No Risk")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351" totalsRowShown="0">
  <autoFilter ref="A1:M351" xr:uid="{00000000-0009-0000-0100-000001000000}"/>
  <tableColumns count="13">
    <tableColumn id="1" xr3:uid="{00000000-0010-0000-0000-000001000000}" name="Customer ID"/>
    <tableColumn id="2" xr3:uid="{00000000-0010-0000-0000-000002000000}" name="Gender"/>
    <tableColumn id="3" xr3:uid="{00000000-0010-0000-0000-000003000000}" name="Age"/>
    <tableColumn id="4" xr3:uid="{00000000-0010-0000-0000-000004000000}" name="City"/>
    <tableColumn id="5" xr3:uid="{00000000-0010-0000-0000-000005000000}" name="Membership Type"/>
    <tableColumn id="6" xr3:uid="{00000000-0010-0000-0000-000006000000}" name="Total Spend" dataDxfId="26"/>
    <tableColumn id="7" xr3:uid="{00000000-0010-0000-0000-000007000000}" name="Items Purchased"/>
    <tableColumn id="8" xr3:uid="{00000000-0010-0000-0000-000008000000}" name="Average Rating"/>
    <tableColumn id="9" xr3:uid="{00000000-0010-0000-0000-000009000000}" name="Discount Applied"/>
    <tableColumn id="10" xr3:uid="{00000000-0010-0000-0000-00000A000000}" name="Days Since Last Purchase" dataDxfId="25"/>
    <tableColumn id="11" xr3:uid="{00000000-0010-0000-0000-00000B000000}" name="Satisfaction Level"/>
    <tableColumn id="12" xr3:uid="{6BFB0118-3DD1-4229-A5D3-C575DF421D16}" name="DSLP in weeks" dataDxfId="24">
      <calculatedColumnFormula>_xlfn.IFS(J2&lt;=7,"1-week",J2&lt;=14,"2-weeks", J2&lt;=21,"3-weeks",J2&lt;=28,"4-weeks",J2&lt;=35,"5-weeks",J2&lt;=42,"6-weeks",J2&lt;=49,"7-weeks",J2&lt;=56,"8-weeks",J2&lt;=63,"9-weeks")</calculatedColumnFormula>
    </tableColumn>
    <tableColumn id="13" xr3:uid="{F36E1F32-18E2-4EEB-85F8-F42591D46B41}" name=" Churn Risk" dataDxfId="23">
      <calculatedColumnFormula>IF(J2&gt;28, "At Risk", "No Risk")</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A9" totalsRowShown="0">
  <autoFilter ref="A1:A9" xr:uid="{00000000-0009-0000-0100-000002000000}"/>
  <tableColumns count="1">
    <tableColumn id="1" xr3:uid="{00000000-0010-0000-0100-000001000000}" name="Column 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B1:B3" totalsRowCount="1" dataDxfId="22" totalsRowDxfId="21" dataCellStyle="Currency">
  <autoFilter ref="B1:B2" xr:uid="{00000000-0009-0000-0100-000003000000}"/>
  <tableColumns count="1">
    <tableColumn id="1" xr3:uid="{00000000-0010-0000-0200-000001000000}" name="Column B" totalsRowFunction="custom" dataDxfId="20" totalsRowDxfId="19" dataCellStyle="Currency">
      <calculatedColumnFormula>SUM(Table1[Total Spend])</calculatedColumnFormula>
      <totalsRowFormula>AVERAGE(Table1[Total Spend])</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1"/>
  <sheetViews>
    <sheetView topLeftCell="A327" workbookViewId="0">
      <selection activeCell="O349" sqref="O349"/>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101</v>
      </c>
      <c r="B2" t="s">
        <v>11</v>
      </c>
      <c r="C2">
        <v>29</v>
      </c>
      <c r="D2" t="s">
        <v>12</v>
      </c>
      <c r="E2" t="s">
        <v>13</v>
      </c>
      <c r="F2">
        <v>1120.2</v>
      </c>
      <c r="G2">
        <v>14</v>
      </c>
      <c r="H2">
        <v>4.5999999999999996</v>
      </c>
      <c r="I2" t="b">
        <v>1</v>
      </c>
      <c r="J2">
        <v>25</v>
      </c>
      <c r="K2" t="s">
        <v>14</v>
      </c>
    </row>
    <row r="3" spans="1:11" x14ac:dyDescent="0.35">
      <c r="A3">
        <v>102</v>
      </c>
      <c r="B3" t="s">
        <v>15</v>
      </c>
      <c r="C3">
        <v>34</v>
      </c>
      <c r="D3" t="s">
        <v>16</v>
      </c>
      <c r="E3" t="s">
        <v>17</v>
      </c>
      <c r="F3">
        <v>780.5</v>
      </c>
      <c r="G3">
        <v>11</v>
      </c>
      <c r="H3">
        <v>4.0999999999999996</v>
      </c>
      <c r="I3" t="b">
        <v>0</v>
      </c>
      <c r="J3">
        <v>18</v>
      </c>
      <c r="K3" t="s">
        <v>18</v>
      </c>
    </row>
    <row r="4" spans="1:11" x14ac:dyDescent="0.35">
      <c r="A4">
        <v>103</v>
      </c>
      <c r="B4" t="s">
        <v>11</v>
      </c>
      <c r="C4">
        <v>43</v>
      </c>
      <c r="D4" t="s">
        <v>19</v>
      </c>
      <c r="E4" t="s">
        <v>20</v>
      </c>
      <c r="F4">
        <v>510.75</v>
      </c>
      <c r="G4">
        <v>9</v>
      </c>
      <c r="H4">
        <v>3.4</v>
      </c>
      <c r="I4" t="b">
        <v>1</v>
      </c>
      <c r="J4">
        <v>42</v>
      </c>
      <c r="K4" t="s">
        <v>21</v>
      </c>
    </row>
    <row r="5" spans="1:11" x14ac:dyDescent="0.35">
      <c r="A5">
        <v>104</v>
      </c>
      <c r="B5" t="s">
        <v>15</v>
      </c>
      <c r="C5">
        <v>30</v>
      </c>
      <c r="D5" t="s">
        <v>22</v>
      </c>
      <c r="E5" t="s">
        <v>13</v>
      </c>
      <c r="F5">
        <v>1480.3</v>
      </c>
      <c r="G5">
        <v>19</v>
      </c>
      <c r="H5">
        <v>4.7</v>
      </c>
      <c r="I5" t="b">
        <v>0</v>
      </c>
      <c r="J5">
        <v>12</v>
      </c>
      <c r="K5" t="s">
        <v>14</v>
      </c>
    </row>
    <row r="6" spans="1:11" x14ac:dyDescent="0.35">
      <c r="A6">
        <v>105</v>
      </c>
      <c r="B6" t="s">
        <v>15</v>
      </c>
      <c r="C6">
        <v>27</v>
      </c>
      <c r="D6" t="s">
        <v>23</v>
      </c>
      <c r="E6" t="s">
        <v>17</v>
      </c>
      <c r="F6">
        <v>720.4</v>
      </c>
      <c r="G6">
        <v>13</v>
      </c>
      <c r="H6">
        <v>4</v>
      </c>
      <c r="I6" t="b">
        <v>1</v>
      </c>
      <c r="J6">
        <v>55</v>
      </c>
      <c r="K6" t="s">
        <v>21</v>
      </c>
    </row>
    <row r="7" spans="1:11" x14ac:dyDescent="0.35">
      <c r="A7">
        <v>106</v>
      </c>
      <c r="B7" t="s">
        <v>11</v>
      </c>
      <c r="C7">
        <v>37</v>
      </c>
      <c r="D7" t="s">
        <v>24</v>
      </c>
      <c r="E7" t="s">
        <v>20</v>
      </c>
      <c r="F7">
        <v>440.8</v>
      </c>
      <c r="G7">
        <v>8</v>
      </c>
      <c r="H7">
        <v>3.1</v>
      </c>
      <c r="I7" t="b">
        <v>0</v>
      </c>
      <c r="J7">
        <v>22</v>
      </c>
      <c r="K7" t="s">
        <v>18</v>
      </c>
    </row>
    <row r="8" spans="1:11" x14ac:dyDescent="0.35">
      <c r="A8">
        <v>107</v>
      </c>
      <c r="B8" t="s">
        <v>11</v>
      </c>
      <c r="C8">
        <v>31</v>
      </c>
      <c r="D8" t="s">
        <v>12</v>
      </c>
      <c r="E8" t="s">
        <v>13</v>
      </c>
      <c r="F8">
        <v>1150.5999999999999</v>
      </c>
      <c r="G8">
        <v>15</v>
      </c>
      <c r="H8">
        <v>4.5</v>
      </c>
      <c r="I8" t="b">
        <v>1</v>
      </c>
      <c r="J8">
        <v>28</v>
      </c>
      <c r="K8" t="s">
        <v>14</v>
      </c>
    </row>
    <row r="9" spans="1:11" x14ac:dyDescent="0.35">
      <c r="A9">
        <v>108</v>
      </c>
      <c r="B9" t="s">
        <v>15</v>
      </c>
      <c r="C9">
        <v>35</v>
      </c>
      <c r="D9" t="s">
        <v>16</v>
      </c>
      <c r="E9" t="s">
        <v>17</v>
      </c>
      <c r="F9">
        <v>800.9</v>
      </c>
      <c r="G9">
        <v>12</v>
      </c>
      <c r="H9">
        <v>4.2</v>
      </c>
      <c r="I9" t="b">
        <v>0</v>
      </c>
      <c r="J9">
        <v>14</v>
      </c>
      <c r="K9" t="s">
        <v>18</v>
      </c>
    </row>
    <row r="10" spans="1:11" x14ac:dyDescent="0.35">
      <c r="A10">
        <v>109</v>
      </c>
      <c r="B10" t="s">
        <v>11</v>
      </c>
      <c r="C10">
        <v>41</v>
      </c>
      <c r="D10" t="s">
        <v>19</v>
      </c>
      <c r="E10" t="s">
        <v>20</v>
      </c>
      <c r="F10">
        <v>495.25</v>
      </c>
      <c r="G10">
        <v>10</v>
      </c>
      <c r="H10">
        <v>3.6</v>
      </c>
      <c r="I10" t="b">
        <v>1</v>
      </c>
      <c r="J10">
        <v>40</v>
      </c>
      <c r="K10" t="s">
        <v>21</v>
      </c>
    </row>
    <row r="11" spans="1:11" x14ac:dyDescent="0.35">
      <c r="A11">
        <v>110</v>
      </c>
      <c r="B11" t="s">
        <v>15</v>
      </c>
      <c r="C11">
        <v>28</v>
      </c>
      <c r="D11" t="s">
        <v>22</v>
      </c>
      <c r="E11" t="s">
        <v>13</v>
      </c>
      <c r="F11">
        <v>1520.1</v>
      </c>
      <c r="G11">
        <v>21</v>
      </c>
      <c r="H11">
        <v>4.8</v>
      </c>
      <c r="I11" t="b">
        <v>0</v>
      </c>
      <c r="J11">
        <v>9</v>
      </c>
      <c r="K11" t="s">
        <v>14</v>
      </c>
    </row>
    <row r="12" spans="1:11" x14ac:dyDescent="0.35">
      <c r="A12">
        <v>111</v>
      </c>
      <c r="B12" t="s">
        <v>15</v>
      </c>
      <c r="C12">
        <v>32</v>
      </c>
      <c r="D12" t="s">
        <v>23</v>
      </c>
      <c r="E12" t="s">
        <v>17</v>
      </c>
      <c r="F12">
        <v>690.3</v>
      </c>
      <c r="G12">
        <v>11</v>
      </c>
      <c r="H12">
        <v>3.8</v>
      </c>
      <c r="I12" t="b">
        <v>1</v>
      </c>
      <c r="J12">
        <v>34</v>
      </c>
      <c r="K12" t="s">
        <v>21</v>
      </c>
    </row>
    <row r="13" spans="1:11" x14ac:dyDescent="0.35">
      <c r="A13">
        <v>112</v>
      </c>
      <c r="B13" t="s">
        <v>11</v>
      </c>
      <c r="C13">
        <v>36</v>
      </c>
      <c r="D13" t="s">
        <v>24</v>
      </c>
      <c r="E13" t="s">
        <v>20</v>
      </c>
      <c r="F13">
        <v>470.5</v>
      </c>
      <c r="G13">
        <v>7</v>
      </c>
      <c r="H13">
        <v>3.2</v>
      </c>
      <c r="I13" t="b">
        <v>0</v>
      </c>
      <c r="J13">
        <v>20</v>
      </c>
      <c r="K13" t="s">
        <v>18</v>
      </c>
    </row>
    <row r="14" spans="1:11" x14ac:dyDescent="0.35">
      <c r="A14">
        <v>113</v>
      </c>
      <c r="B14" t="s">
        <v>11</v>
      </c>
      <c r="C14">
        <v>30</v>
      </c>
      <c r="D14" t="s">
        <v>12</v>
      </c>
      <c r="E14" t="s">
        <v>13</v>
      </c>
      <c r="F14">
        <v>1200.8</v>
      </c>
      <c r="G14">
        <v>16</v>
      </c>
      <c r="H14">
        <v>4.3</v>
      </c>
      <c r="I14" t="b">
        <v>1</v>
      </c>
      <c r="J14">
        <v>21</v>
      </c>
      <c r="K14" t="s">
        <v>14</v>
      </c>
    </row>
    <row r="15" spans="1:11" x14ac:dyDescent="0.35">
      <c r="A15">
        <v>114</v>
      </c>
      <c r="B15" t="s">
        <v>15</v>
      </c>
      <c r="C15">
        <v>33</v>
      </c>
      <c r="D15" t="s">
        <v>16</v>
      </c>
      <c r="E15" t="s">
        <v>17</v>
      </c>
      <c r="F15">
        <v>820.75</v>
      </c>
      <c r="G15">
        <v>13</v>
      </c>
      <c r="H15">
        <v>4.4000000000000004</v>
      </c>
      <c r="I15" t="b">
        <v>0</v>
      </c>
      <c r="J15">
        <v>15</v>
      </c>
      <c r="K15" t="s">
        <v>14</v>
      </c>
    </row>
    <row r="16" spans="1:11" x14ac:dyDescent="0.35">
      <c r="A16">
        <v>115</v>
      </c>
      <c r="B16" t="s">
        <v>11</v>
      </c>
      <c r="C16">
        <v>42</v>
      </c>
      <c r="D16" t="s">
        <v>19</v>
      </c>
      <c r="E16" t="s">
        <v>20</v>
      </c>
      <c r="F16">
        <v>530.4</v>
      </c>
      <c r="G16">
        <v>9</v>
      </c>
      <c r="H16">
        <v>3.5</v>
      </c>
      <c r="I16" t="b">
        <v>1</v>
      </c>
      <c r="J16">
        <v>38</v>
      </c>
      <c r="K16" t="s">
        <v>21</v>
      </c>
    </row>
    <row r="17" spans="1:11" x14ac:dyDescent="0.35">
      <c r="A17">
        <v>116</v>
      </c>
      <c r="B17" t="s">
        <v>15</v>
      </c>
      <c r="C17">
        <v>29</v>
      </c>
      <c r="D17" t="s">
        <v>22</v>
      </c>
      <c r="E17" t="s">
        <v>13</v>
      </c>
      <c r="F17">
        <v>1360.2</v>
      </c>
      <c r="G17">
        <v>18</v>
      </c>
      <c r="H17">
        <v>4.9000000000000004</v>
      </c>
      <c r="I17" t="b">
        <v>0</v>
      </c>
      <c r="J17">
        <v>11</v>
      </c>
      <c r="K17" t="s">
        <v>14</v>
      </c>
    </row>
    <row r="18" spans="1:11" x14ac:dyDescent="0.35">
      <c r="A18">
        <v>117</v>
      </c>
      <c r="B18" t="s">
        <v>15</v>
      </c>
      <c r="C18">
        <v>26</v>
      </c>
      <c r="D18" t="s">
        <v>23</v>
      </c>
      <c r="E18" t="s">
        <v>17</v>
      </c>
      <c r="F18">
        <v>700.6</v>
      </c>
      <c r="G18">
        <v>12</v>
      </c>
      <c r="H18">
        <v>3.7</v>
      </c>
      <c r="I18" t="b">
        <v>1</v>
      </c>
      <c r="J18">
        <v>48</v>
      </c>
      <c r="K18" t="s">
        <v>21</v>
      </c>
    </row>
    <row r="19" spans="1:11" x14ac:dyDescent="0.35">
      <c r="A19">
        <v>118</v>
      </c>
      <c r="B19" t="s">
        <v>11</v>
      </c>
      <c r="C19">
        <v>38</v>
      </c>
      <c r="D19" t="s">
        <v>24</v>
      </c>
      <c r="E19" t="s">
        <v>20</v>
      </c>
      <c r="F19">
        <v>450.9</v>
      </c>
      <c r="G19">
        <v>8</v>
      </c>
      <c r="H19">
        <v>3</v>
      </c>
      <c r="I19" t="b">
        <v>0</v>
      </c>
      <c r="J19">
        <v>25</v>
      </c>
      <c r="K19" t="s">
        <v>18</v>
      </c>
    </row>
    <row r="20" spans="1:11" x14ac:dyDescent="0.35">
      <c r="A20">
        <v>119</v>
      </c>
      <c r="B20" t="s">
        <v>11</v>
      </c>
      <c r="C20">
        <v>32</v>
      </c>
      <c r="D20" t="s">
        <v>12</v>
      </c>
      <c r="E20" t="s">
        <v>13</v>
      </c>
      <c r="F20">
        <v>1170.3</v>
      </c>
      <c r="G20">
        <v>14</v>
      </c>
      <c r="H20">
        <v>4.7</v>
      </c>
      <c r="I20" t="b">
        <v>1</v>
      </c>
      <c r="J20">
        <v>29</v>
      </c>
      <c r="K20" t="s">
        <v>14</v>
      </c>
    </row>
    <row r="21" spans="1:11" x14ac:dyDescent="0.35">
      <c r="A21">
        <v>120</v>
      </c>
      <c r="B21" t="s">
        <v>15</v>
      </c>
      <c r="C21">
        <v>34</v>
      </c>
      <c r="D21" t="s">
        <v>16</v>
      </c>
      <c r="E21" t="s">
        <v>17</v>
      </c>
      <c r="F21">
        <v>790.2</v>
      </c>
      <c r="G21">
        <v>11</v>
      </c>
      <c r="H21">
        <v>4</v>
      </c>
      <c r="I21" t="b">
        <v>0</v>
      </c>
      <c r="J21">
        <v>16</v>
      </c>
      <c r="K21" t="s">
        <v>18</v>
      </c>
    </row>
    <row r="22" spans="1:11" x14ac:dyDescent="0.35">
      <c r="A22">
        <v>121</v>
      </c>
      <c r="B22" t="s">
        <v>11</v>
      </c>
      <c r="C22">
        <v>43</v>
      </c>
      <c r="D22" t="s">
        <v>19</v>
      </c>
      <c r="E22" t="s">
        <v>20</v>
      </c>
      <c r="F22">
        <v>505.75</v>
      </c>
      <c r="G22">
        <v>10</v>
      </c>
      <c r="H22">
        <v>3.3</v>
      </c>
      <c r="I22" t="b">
        <v>1</v>
      </c>
      <c r="J22">
        <v>41</v>
      </c>
      <c r="K22" t="s">
        <v>21</v>
      </c>
    </row>
    <row r="23" spans="1:11" x14ac:dyDescent="0.35">
      <c r="A23">
        <v>122</v>
      </c>
      <c r="B23" t="s">
        <v>15</v>
      </c>
      <c r="C23">
        <v>30</v>
      </c>
      <c r="D23" t="s">
        <v>22</v>
      </c>
      <c r="E23" t="s">
        <v>13</v>
      </c>
      <c r="F23">
        <v>1470.5</v>
      </c>
      <c r="G23">
        <v>20</v>
      </c>
      <c r="H23">
        <v>4.8</v>
      </c>
      <c r="I23" t="b">
        <v>0</v>
      </c>
      <c r="J23">
        <v>13</v>
      </c>
      <c r="K23" t="s">
        <v>14</v>
      </c>
    </row>
    <row r="24" spans="1:11" x14ac:dyDescent="0.35">
      <c r="A24">
        <v>123</v>
      </c>
      <c r="B24" t="s">
        <v>15</v>
      </c>
      <c r="C24">
        <v>27</v>
      </c>
      <c r="D24" t="s">
        <v>23</v>
      </c>
      <c r="E24" t="s">
        <v>17</v>
      </c>
      <c r="F24">
        <v>710.4</v>
      </c>
      <c r="G24">
        <v>13</v>
      </c>
      <c r="H24">
        <v>4.0999999999999996</v>
      </c>
      <c r="I24" t="b">
        <v>1</v>
      </c>
      <c r="J24">
        <v>54</v>
      </c>
      <c r="K24" t="s">
        <v>21</v>
      </c>
    </row>
    <row r="25" spans="1:11" x14ac:dyDescent="0.35">
      <c r="A25">
        <v>124</v>
      </c>
      <c r="B25" t="s">
        <v>11</v>
      </c>
      <c r="C25">
        <v>37</v>
      </c>
      <c r="D25" t="s">
        <v>24</v>
      </c>
      <c r="E25" t="s">
        <v>20</v>
      </c>
      <c r="F25">
        <v>430.8</v>
      </c>
      <c r="G25">
        <v>7</v>
      </c>
      <c r="H25">
        <v>3.4</v>
      </c>
      <c r="I25" t="b">
        <v>0</v>
      </c>
      <c r="J25">
        <v>23</v>
      </c>
      <c r="K25" t="s">
        <v>18</v>
      </c>
    </row>
    <row r="26" spans="1:11" x14ac:dyDescent="0.35">
      <c r="A26">
        <v>125</v>
      </c>
      <c r="B26" t="s">
        <v>11</v>
      </c>
      <c r="C26">
        <v>31</v>
      </c>
      <c r="D26" t="s">
        <v>12</v>
      </c>
      <c r="E26" t="s">
        <v>13</v>
      </c>
      <c r="F26">
        <v>1140.5999999999999</v>
      </c>
      <c r="G26">
        <v>15</v>
      </c>
      <c r="H26">
        <v>4.5999999999999996</v>
      </c>
      <c r="I26" t="b">
        <v>1</v>
      </c>
      <c r="J26">
        <v>27</v>
      </c>
      <c r="K26" t="s">
        <v>14</v>
      </c>
    </row>
    <row r="27" spans="1:11" x14ac:dyDescent="0.35">
      <c r="A27">
        <v>126</v>
      </c>
      <c r="B27" t="s">
        <v>15</v>
      </c>
      <c r="C27">
        <v>35</v>
      </c>
      <c r="D27" t="s">
        <v>16</v>
      </c>
      <c r="E27" t="s">
        <v>17</v>
      </c>
      <c r="F27">
        <v>810.9</v>
      </c>
      <c r="G27">
        <v>12</v>
      </c>
      <c r="H27">
        <v>4.3</v>
      </c>
      <c r="I27" t="b">
        <v>0</v>
      </c>
      <c r="J27">
        <v>13</v>
      </c>
      <c r="K27" t="s">
        <v>18</v>
      </c>
    </row>
    <row r="28" spans="1:11" x14ac:dyDescent="0.35">
      <c r="A28">
        <v>127</v>
      </c>
      <c r="B28" t="s">
        <v>11</v>
      </c>
      <c r="C28">
        <v>41</v>
      </c>
      <c r="D28" t="s">
        <v>19</v>
      </c>
      <c r="E28" t="s">
        <v>20</v>
      </c>
      <c r="F28">
        <v>485.25</v>
      </c>
      <c r="G28">
        <v>9</v>
      </c>
      <c r="H28">
        <v>3.6</v>
      </c>
      <c r="I28" t="b">
        <v>1</v>
      </c>
      <c r="J28">
        <v>39</v>
      </c>
      <c r="K28" t="s">
        <v>21</v>
      </c>
    </row>
    <row r="29" spans="1:11" x14ac:dyDescent="0.35">
      <c r="A29">
        <v>128</v>
      </c>
      <c r="B29" t="s">
        <v>15</v>
      </c>
      <c r="C29">
        <v>28</v>
      </c>
      <c r="D29" t="s">
        <v>22</v>
      </c>
      <c r="E29" t="s">
        <v>13</v>
      </c>
      <c r="F29">
        <v>1500.1</v>
      </c>
      <c r="G29">
        <v>21</v>
      </c>
      <c r="H29">
        <v>4.9000000000000004</v>
      </c>
      <c r="I29" t="b">
        <v>0</v>
      </c>
      <c r="J29">
        <v>10</v>
      </c>
      <c r="K29" t="s">
        <v>14</v>
      </c>
    </row>
    <row r="30" spans="1:11" x14ac:dyDescent="0.35">
      <c r="A30">
        <v>129</v>
      </c>
      <c r="B30" t="s">
        <v>15</v>
      </c>
      <c r="C30">
        <v>32</v>
      </c>
      <c r="D30" t="s">
        <v>23</v>
      </c>
      <c r="E30" t="s">
        <v>17</v>
      </c>
      <c r="F30">
        <v>670.3</v>
      </c>
      <c r="G30">
        <v>10</v>
      </c>
      <c r="H30">
        <v>3.8</v>
      </c>
      <c r="I30" t="b">
        <v>1</v>
      </c>
      <c r="J30">
        <v>33</v>
      </c>
      <c r="K30" t="s">
        <v>21</v>
      </c>
    </row>
    <row r="31" spans="1:11" x14ac:dyDescent="0.35">
      <c r="A31">
        <v>130</v>
      </c>
      <c r="B31" t="s">
        <v>11</v>
      </c>
      <c r="C31">
        <v>36</v>
      </c>
      <c r="D31" t="s">
        <v>24</v>
      </c>
      <c r="E31" t="s">
        <v>20</v>
      </c>
      <c r="F31">
        <v>460.5</v>
      </c>
      <c r="G31">
        <v>8</v>
      </c>
      <c r="H31">
        <v>3.1</v>
      </c>
      <c r="I31" t="b">
        <v>0</v>
      </c>
      <c r="J31">
        <v>19</v>
      </c>
      <c r="K31" t="s">
        <v>18</v>
      </c>
    </row>
    <row r="32" spans="1:11" x14ac:dyDescent="0.35">
      <c r="A32">
        <v>131</v>
      </c>
      <c r="B32" t="s">
        <v>11</v>
      </c>
      <c r="C32">
        <v>30</v>
      </c>
      <c r="D32" t="s">
        <v>12</v>
      </c>
      <c r="E32" t="s">
        <v>13</v>
      </c>
      <c r="F32">
        <v>1190.8</v>
      </c>
      <c r="G32">
        <v>16</v>
      </c>
      <c r="H32">
        <v>4.5</v>
      </c>
      <c r="I32" t="b">
        <v>1</v>
      </c>
      <c r="J32">
        <v>20</v>
      </c>
      <c r="K32" t="s">
        <v>14</v>
      </c>
    </row>
    <row r="33" spans="1:11" x14ac:dyDescent="0.35">
      <c r="A33">
        <v>132</v>
      </c>
      <c r="B33" t="s">
        <v>15</v>
      </c>
      <c r="C33">
        <v>33</v>
      </c>
      <c r="D33" t="s">
        <v>16</v>
      </c>
      <c r="E33" t="s">
        <v>17</v>
      </c>
      <c r="F33">
        <v>830.75</v>
      </c>
      <c r="G33">
        <v>13</v>
      </c>
      <c r="H33">
        <v>4.2</v>
      </c>
      <c r="I33" t="b">
        <v>0</v>
      </c>
      <c r="J33">
        <v>14</v>
      </c>
      <c r="K33" t="s">
        <v>14</v>
      </c>
    </row>
    <row r="34" spans="1:11" x14ac:dyDescent="0.35">
      <c r="A34">
        <v>133</v>
      </c>
      <c r="B34" t="s">
        <v>11</v>
      </c>
      <c r="C34">
        <v>42</v>
      </c>
      <c r="D34" t="s">
        <v>19</v>
      </c>
      <c r="E34" t="s">
        <v>20</v>
      </c>
      <c r="F34">
        <v>520.4</v>
      </c>
      <c r="G34">
        <v>9</v>
      </c>
      <c r="H34">
        <v>3.5</v>
      </c>
      <c r="I34" t="b">
        <v>1</v>
      </c>
      <c r="J34">
        <v>37</v>
      </c>
      <c r="K34" t="s">
        <v>21</v>
      </c>
    </row>
    <row r="35" spans="1:11" x14ac:dyDescent="0.35">
      <c r="A35">
        <v>134</v>
      </c>
      <c r="B35" t="s">
        <v>15</v>
      </c>
      <c r="C35">
        <v>29</v>
      </c>
      <c r="D35" t="s">
        <v>22</v>
      </c>
      <c r="E35" t="s">
        <v>13</v>
      </c>
      <c r="F35">
        <v>1370.2</v>
      </c>
      <c r="G35">
        <v>18</v>
      </c>
      <c r="H35">
        <v>4.7</v>
      </c>
      <c r="I35" t="b">
        <v>0</v>
      </c>
      <c r="J35">
        <v>10</v>
      </c>
      <c r="K35" t="s">
        <v>14</v>
      </c>
    </row>
    <row r="36" spans="1:11" x14ac:dyDescent="0.35">
      <c r="A36">
        <v>135</v>
      </c>
      <c r="B36" t="s">
        <v>15</v>
      </c>
      <c r="C36">
        <v>26</v>
      </c>
      <c r="D36" t="s">
        <v>23</v>
      </c>
      <c r="E36" t="s">
        <v>17</v>
      </c>
      <c r="F36">
        <v>690.6</v>
      </c>
      <c r="G36">
        <v>12</v>
      </c>
      <c r="H36">
        <v>3.9</v>
      </c>
      <c r="I36" t="b">
        <v>1</v>
      </c>
      <c r="J36">
        <v>47</v>
      </c>
      <c r="K36" t="s">
        <v>21</v>
      </c>
    </row>
    <row r="37" spans="1:11" x14ac:dyDescent="0.35">
      <c r="A37">
        <v>136</v>
      </c>
      <c r="B37" t="s">
        <v>11</v>
      </c>
      <c r="C37">
        <v>38</v>
      </c>
      <c r="D37" t="s">
        <v>24</v>
      </c>
      <c r="E37" t="s">
        <v>20</v>
      </c>
      <c r="F37">
        <v>440.9</v>
      </c>
      <c r="G37">
        <v>8</v>
      </c>
      <c r="H37">
        <v>3.2</v>
      </c>
      <c r="I37" t="b">
        <v>0</v>
      </c>
      <c r="J37">
        <v>24</v>
      </c>
      <c r="K37" t="s">
        <v>18</v>
      </c>
    </row>
    <row r="38" spans="1:11" x14ac:dyDescent="0.35">
      <c r="A38">
        <v>137</v>
      </c>
      <c r="B38" t="s">
        <v>11</v>
      </c>
      <c r="C38">
        <v>32</v>
      </c>
      <c r="D38" t="s">
        <v>12</v>
      </c>
      <c r="E38" t="s">
        <v>13</v>
      </c>
      <c r="F38">
        <v>1160.3</v>
      </c>
      <c r="G38">
        <v>14</v>
      </c>
      <c r="H38">
        <v>4.4000000000000004</v>
      </c>
      <c r="I38" t="b">
        <v>1</v>
      </c>
      <c r="J38">
        <v>22</v>
      </c>
      <c r="K38" t="s">
        <v>14</v>
      </c>
    </row>
    <row r="39" spans="1:11" x14ac:dyDescent="0.35">
      <c r="A39">
        <v>138</v>
      </c>
      <c r="B39" t="s">
        <v>15</v>
      </c>
      <c r="C39">
        <v>34</v>
      </c>
      <c r="D39" t="s">
        <v>16</v>
      </c>
      <c r="E39" t="s">
        <v>17</v>
      </c>
      <c r="F39">
        <v>800.2</v>
      </c>
      <c r="G39">
        <v>11</v>
      </c>
      <c r="H39">
        <v>4.0999999999999996</v>
      </c>
      <c r="I39" t="b">
        <v>0</v>
      </c>
      <c r="J39">
        <v>17</v>
      </c>
      <c r="K39" t="s">
        <v>18</v>
      </c>
    </row>
    <row r="40" spans="1:11" x14ac:dyDescent="0.35">
      <c r="A40">
        <v>139</v>
      </c>
      <c r="B40" t="s">
        <v>11</v>
      </c>
      <c r="C40">
        <v>43</v>
      </c>
      <c r="D40" t="s">
        <v>19</v>
      </c>
      <c r="E40" t="s">
        <v>20</v>
      </c>
      <c r="F40">
        <v>500.75</v>
      </c>
      <c r="G40">
        <v>10</v>
      </c>
      <c r="H40">
        <v>3.3</v>
      </c>
      <c r="I40" t="b">
        <v>1</v>
      </c>
      <c r="J40">
        <v>40</v>
      </c>
      <c r="K40" t="s">
        <v>21</v>
      </c>
    </row>
    <row r="41" spans="1:11" x14ac:dyDescent="0.35">
      <c r="A41">
        <v>140</v>
      </c>
      <c r="B41" t="s">
        <v>15</v>
      </c>
      <c r="C41">
        <v>30</v>
      </c>
      <c r="D41" t="s">
        <v>22</v>
      </c>
      <c r="E41" t="s">
        <v>13</v>
      </c>
      <c r="F41">
        <v>1460.5</v>
      </c>
      <c r="G41">
        <v>20</v>
      </c>
      <c r="H41">
        <v>4.8</v>
      </c>
      <c r="I41" t="b">
        <v>0</v>
      </c>
      <c r="J41">
        <v>12</v>
      </c>
      <c r="K41" t="s">
        <v>14</v>
      </c>
    </row>
    <row r="42" spans="1:11" x14ac:dyDescent="0.35">
      <c r="A42">
        <v>141</v>
      </c>
      <c r="B42" t="s">
        <v>15</v>
      </c>
      <c r="C42">
        <v>27</v>
      </c>
      <c r="D42" t="s">
        <v>23</v>
      </c>
      <c r="E42" t="s">
        <v>17</v>
      </c>
      <c r="F42">
        <v>700.4</v>
      </c>
      <c r="G42">
        <v>13</v>
      </c>
      <c r="H42">
        <v>4</v>
      </c>
      <c r="I42" t="b">
        <v>1</v>
      </c>
      <c r="J42">
        <v>53</v>
      </c>
      <c r="K42" t="s">
        <v>21</v>
      </c>
    </row>
    <row r="43" spans="1:11" x14ac:dyDescent="0.35">
      <c r="A43">
        <v>142</v>
      </c>
      <c r="B43" t="s">
        <v>11</v>
      </c>
      <c r="C43">
        <v>37</v>
      </c>
      <c r="D43" t="s">
        <v>24</v>
      </c>
      <c r="E43" t="s">
        <v>20</v>
      </c>
      <c r="F43">
        <v>420.8</v>
      </c>
      <c r="G43">
        <v>7</v>
      </c>
      <c r="H43">
        <v>3.1</v>
      </c>
      <c r="I43" t="b">
        <v>0</v>
      </c>
      <c r="J43">
        <v>21</v>
      </c>
      <c r="K43" t="s">
        <v>18</v>
      </c>
    </row>
    <row r="44" spans="1:11" x14ac:dyDescent="0.35">
      <c r="A44">
        <v>143</v>
      </c>
      <c r="B44" t="s">
        <v>11</v>
      </c>
      <c r="C44">
        <v>31</v>
      </c>
      <c r="D44" t="s">
        <v>12</v>
      </c>
      <c r="E44" t="s">
        <v>13</v>
      </c>
      <c r="F44">
        <v>1130.5999999999999</v>
      </c>
      <c r="G44">
        <v>15</v>
      </c>
      <c r="H44">
        <v>4.5</v>
      </c>
      <c r="I44" t="b">
        <v>1</v>
      </c>
      <c r="J44">
        <v>26</v>
      </c>
      <c r="K44" t="s">
        <v>14</v>
      </c>
    </row>
    <row r="45" spans="1:11" x14ac:dyDescent="0.35">
      <c r="A45">
        <v>144</v>
      </c>
      <c r="B45" t="s">
        <v>15</v>
      </c>
      <c r="C45">
        <v>35</v>
      </c>
      <c r="D45" t="s">
        <v>16</v>
      </c>
      <c r="E45" t="s">
        <v>17</v>
      </c>
      <c r="F45">
        <v>820.9</v>
      </c>
      <c r="G45">
        <v>12</v>
      </c>
      <c r="H45">
        <v>4.3</v>
      </c>
      <c r="I45" t="b">
        <v>0</v>
      </c>
      <c r="J45">
        <v>12</v>
      </c>
      <c r="K45" t="s">
        <v>18</v>
      </c>
    </row>
    <row r="46" spans="1:11" x14ac:dyDescent="0.35">
      <c r="A46">
        <v>145</v>
      </c>
      <c r="B46" t="s">
        <v>11</v>
      </c>
      <c r="C46">
        <v>41</v>
      </c>
      <c r="D46" t="s">
        <v>19</v>
      </c>
      <c r="E46" t="s">
        <v>20</v>
      </c>
      <c r="F46">
        <v>480.25</v>
      </c>
      <c r="G46">
        <v>9</v>
      </c>
      <c r="H46">
        <v>3.6</v>
      </c>
      <c r="I46" t="b">
        <v>1</v>
      </c>
      <c r="J46">
        <v>38</v>
      </c>
      <c r="K46" t="s">
        <v>21</v>
      </c>
    </row>
    <row r="47" spans="1:11" x14ac:dyDescent="0.35">
      <c r="A47">
        <v>146</v>
      </c>
      <c r="B47" t="s">
        <v>15</v>
      </c>
      <c r="C47">
        <v>28</v>
      </c>
      <c r="D47" t="s">
        <v>22</v>
      </c>
      <c r="E47" t="s">
        <v>13</v>
      </c>
      <c r="F47">
        <v>1490.1</v>
      </c>
      <c r="G47">
        <v>21</v>
      </c>
      <c r="H47">
        <v>4.9000000000000004</v>
      </c>
      <c r="I47" t="b">
        <v>0</v>
      </c>
      <c r="J47">
        <v>9</v>
      </c>
      <c r="K47" t="s">
        <v>14</v>
      </c>
    </row>
    <row r="48" spans="1:11" x14ac:dyDescent="0.35">
      <c r="A48">
        <v>147</v>
      </c>
      <c r="B48" t="s">
        <v>15</v>
      </c>
      <c r="C48">
        <v>32</v>
      </c>
      <c r="D48" t="s">
        <v>23</v>
      </c>
      <c r="E48" t="s">
        <v>17</v>
      </c>
      <c r="F48">
        <v>680.3</v>
      </c>
      <c r="G48">
        <v>10</v>
      </c>
      <c r="H48">
        <v>3.8</v>
      </c>
      <c r="I48" t="b">
        <v>1</v>
      </c>
      <c r="J48">
        <v>32</v>
      </c>
      <c r="K48" t="s">
        <v>21</v>
      </c>
    </row>
    <row r="49" spans="1:11" x14ac:dyDescent="0.35">
      <c r="A49">
        <v>148</v>
      </c>
      <c r="B49" t="s">
        <v>11</v>
      </c>
      <c r="C49">
        <v>36</v>
      </c>
      <c r="D49" t="s">
        <v>24</v>
      </c>
      <c r="E49" t="s">
        <v>20</v>
      </c>
      <c r="F49">
        <v>470.5</v>
      </c>
      <c r="G49">
        <v>8</v>
      </c>
      <c r="H49">
        <v>3</v>
      </c>
      <c r="I49" t="b">
        <v>0</v>
      </c>
      <c r="J49">
        <v>18</v>
      </c>
      <c r="K49" t="s">
        <v>18</v>
      </c>
    </row>
    <row r="50" spans="1:11" x14ac:dyDescent="0.35">
      <c r="A50">
        <v>149</v>
      </c>
      <c r="B50" t="s">
        <v>11</v>
      </c>
      <c r="C50">
        <v>30</v>
      </c>
      <c r="D50" t="s">
        <v>12</v>
      </c>
      <c r="E50" t="s">
        <v>13</v>
      </c>
      <c r="F50">
        <v>1180.8</v>
      </c>
      <c r="G50">
        <v>16</v>
      </c>
      <c r="H50">
        <v>4.7</v>
      </c>
      <c r="I50" t="b">
        <v>1</v>
      </c>
      <c r="J50">
        <v>19</v>
      </c>
      <c r="K50" t="s">
        <v>14</v>
      </c>
    </row>
    <row r="51" spans="1:11" x14ac:dyDescent="0.35">
      <c r="A51">
        <v>150</v>
      </c>
      <c r="B51" t="s">
        <v>15</v>
      </c>
      <c r="C51">
        <v>34</v>
      </c>
      <c r="D51" t="s">
        <v>16</v>
      </c>
      <c r="E51" t="s">
        <v>17</v>
      </c>
      <c r="F51">
        <v>790.2</v>
      </c>
      <c r="G51">
        <v>11</v>
      </c>
      <c r="H51">
        <v>4</v>
      </c>
      <c r="I51" t="b">
        <v>0</v>
      </c>
      <c r="J51">
        <v>15</v>
      </c>
      <c r="K51" t="s">
        <v>18</v>
      </c>
    </row>
    <row r="52" spans="1:11" x14ac:dyDescent="0.35">
      <c r="A52">
        <v>151</v>
      </c>
      <c r="B52" t="s">
        <v>11</v>
      </c>
      <c r="C52">
        <v>43</v>
      </c>
      <c r="D52" t="s">
        <v>19</v>
      </c>
      <c r="E52" t="s">
        <v>20</v>
      </c>
      <c r="F52">
        <v>505.75</v>
      </c>
      <c r="G52">
        <v>10</v>
      </c>
      <c r="H52">
        <v>3.3</v>
      </c>
      <c r="I52" t="b">
        <v>1</v>
      </c>
      <c r="J52">
        <v>39</v>
      </c>
      <c r="K52" t="s">
        <v>21</v>
      </c>
    </row>
    <row r="53" spans="1:11" x14ac:dyDescent="0.35">
      <c r="A53">
        <v>152</v>
      </c>
      <c r="B53" t="s">
        <v>15</v>
      </c>
      <c r="C53">
        <v>30</v>
      </c>
      <c r="D53" t="s">
        <v>22</v>
      </c>
      <c r="E53" t="s">
        <v>13</v>
      </c>
      <c r="F53">
        <v>1470.5</v>
      </c>
      <c r="G53">
        <v>20</v>
      </c>
      <c r="H53">
        <v>4.8</v>
      </c>
      <c r="I53" t="b">
        <v>0</v>
      </c>
      <c r="J53">
        <v>13</v>
      </c>
      <c r="K53" t="s">
        <v>14</v>
      </c>
    </row>
    <row r="54" spans="1:11" x14ac:dyDescent="0.35">
      <c r="A54">
        <v>153</v>
      </c>
      <c r="B54" t="s">
        <v>15</v>
      </c>
      <c r="C54">
        <v>27</v>
      </c>
      <c r="D54" t="s">
        <v>23</v>
      </c>
      <c r="E54" t="s">
        <v>17</v>
      </c>
      <c r="F54">
        <v>710.4</v>
      </c>
      <c r="G54">
        <v>13</v>
      </c>
      <c r="H54">
        <v>4.0999999999999996</v>
      </c>
      <c r="I54" t="b">
        <v>1</v>
      </c>
      <c r="J54">
        <v>54</v>
      </c>
      <c r="K54" t="s">
        <v>21</v>
      </c>
    </row>
    <row r="55" spans="1:11" x14ac:dyDescent="0.35">
      <c r="A55">
        <v>154</v>
      </c>
      <c r="B55" t="s">
        <v>11</v>
      </c>
      <c r="C55">
        <v>37</v>
      </c>
      <c r="D55" t="s">
        <v>24</v>
      </c>
      <c r="E55" t="s">
        <v>20</v>
      </c>
      <c r="F55">
        <v>430.8</v>
      </c>
      <c r="G55">
        <v>7</v>
      </c>
      <c r="H55">
        <v>3.4</v>
      </c>
      <c r="I55" t="b">
        <v>0</v>
      </c>
      <c r="J55">
        <v>23</v>
      </c>
      <c r="K55" t="s">
        <v>18</v>
      </c>
    </row>
    <row r="56" spans="1:11" x14ac:dyDescent="0.35">
      <c r="A56">
        <v>155</v>
      </c>
      <c r="B56" t="s">
        <v>11</v>
      </c>
      <c r="C56">
        <v>31</v>
      </c>
      <c r="D56" t="s">
        <v>12</v>
      </c>
      <c r="E56" t="s">
        <v>13</v>
      </c>
      <c r="F56">
        <v>1140.5999999999999</v>
      </c>
      <c r="G56">
        <v>15</v>
      </c>
      <c r="H56">
        <v>4.5999999999999996</v>
      </c>
      <c r="I56" t="b">
        <v>1</v>
      </c>
      <c r="J56">
        <v>27</v>
      </c>
      <c r="K56" t="s">
        <v>14</v>
      </c>
    </row>
    <row r="57" spans="1:11" x14ac:dyDescent="0.35">
      <c r="A57">
        <v>156</v>
      </c>
      <c r="B57" t="s">
        <v>15</v>
      </c>
      <c r="C57">
        <v>35</v>
      </c>
      <c r="D57" t="s">
        <v>16</v>
      </c>
      <c r="E57" t="s">
        <v>17</v>
      </c>
      <c r="F57">
        <v>810.9</v>
      </c>
      <c r="G57">
        <v>12</v>
      </c>
      <c r="H57">
        <v>4.3</v>
      </c>
      <c r="I57" t="b">
        <v>0</v>
      </c>
      <c r="J57">
        <v>13</v>
      </c>
      <c r="K57" t="s">
        <v>18</v>
      </c>
    </row>
    <row r="58" spans="1:11" x14ac:dyDescent="0.35">
      <c r="A58">
        <v>157</v>
      </c>
      <c r="B58" t="s">
        <v>11</v>
      </c>
      <c r="C58">
        <v>41</v>
      </c>
      <c r="D58" t="s">
        <v>19</v>
      </c>
      <c r="E58" t="s">
        <v>20</v>
      </c>
      <c r="F58">
        <v>485.25</v>
      </c>
      <c r="G58">
        <v>9</v>
      </c>
      <c r="H58">
        <v>3.6</v>
      </c>
      <c r="I58" t="b">
        <v>1</v>
      </c>
      <c r="J58">
        <v>39</v>
      </c>
      <c r="K58" t="s">
        <v>21</v>
      </c>
    </row>
    <row r="59" spans="1:11" x14ac:dyDescent="0.35">
      <c r="A59">
        <v>158</v>
      </c>
      <c r="B59" t="s">
        <v>15</v>
      </c>
      <c r="C59">
        <v>28</v>
      </c>
      <c r="D59" t="s">
        <v>22</v>
      </c>
      <c r="E59" t="s">
        <v>13</v>
      </c>
      <c r="F59">
        <v>1500.1</v>
      </c>
      <c r="G59">
        <v>21</v>
      </c>
      <c r="H59">
        <v>4.9000000000000004</v>
      </c>
      <c r="I59" t="b">
        <v>0</v>
      </c>
      <c r="J59">
        <v>10</v>
      </c>
      <c r="K59" t="s">
        <v>14</v>
      </c>
    </row>
    <row r="60" spans="1:11" x14ac:dyDescent="0.35">
      <c r="A60">
        <v>159</v>
      </c>
      <c r="B60" t="s">
        <v>15</v>
      </c>
      <c r="C60">
        <v>32</v>
      </c>
      <c r="D60" t="s">
        <v>23</v>
      </c>
      <c r="E60" t="s">
        <v>17</v>
      </c>
      <c r="F60">
        <v>670.3</v>
      </c>
      <c r="G60">
        <v>10</v>
      </c>
      <c r="H60">
        <v>3.8</v>
      </c>
      <c r="I60" t="b">
        <v>1</v>
      </c>
      <c r="J60">
        <v>33</v>
      </c>
      <c r="K60" t="s">
        <v>21</v>
      </c>
    </row>
    <row r="61" spans="1:11" x14ac:dyDescent="0.35">
      <c r="A61">
        <v>160</v>
      </c>
      <c r="B61" t="s">
        <v>11</v>
      </c>
      <c r="C61">
        <v>36</v>
      </c>
      <c r="D61" t="s">
        <v>24</v>
      </c>
      <c r="E61" t="s">
        <v>20</v>
      </c>
      <c r="F61">
        <v>460.5</v>
      </c>
      <c r="G61">
        <v>8</v>
      </c>
      <c r="H61">
        <v>3.1</v>
      </c>
      <c r="I61" t="b">
        <v>0</v>
      </c>
      <c r="J61">
        <v>19</v>
      </c>
      <c r="K61" t="s">
        <v>18</v>
      </c>
    </row>
    <row r="62" spans="1:11" x14ac:dyDescent="0.35">
      <c r="A62">
        <v>161</v>
      </c>
      <c r="B62" t="s">
        <v>11</v>
      </c>
      <c r="C62">
        <v>30</v>
      </c>
      <c r="D62" t="s">
        <v>12</v>
      </c>
      <c r="E62" t="s">
        <v>13</v>
      </c>
      <c r="F62">
        <v>1190.8</v>
      </c>
      <c r="G62">
        <v>16</v>
      </c>
      <c r="H62">
        <v>4.5</v>
      </c>
      <c r="I62" t="b">
        <v>1</v>
      </c>
      <c r="J62">
        <v>20</v>
      </c>
      <c r="K62" t="s">
        <v>14</v>
      </c>
    </row>
    <row r="63" spans="1:11" x14ac:dyDescent="0.35">
      <c r="A63">
        <v>162</v>
      </c>
      <c r="B63" t="s">
        <v>15</v>
      </c>
      <c r="C63">
        <v>33</v>
      </c>
      <c r="D63" t="s">
        <v>16</v>
      </c>
      <c r="E63" t="s">
        <v>17</v>
      </c>
      <c r="F63">
        <v>830.75</v>
      </c>
      <c r="G63">
        <v>13</v>
      </c>
      <c r="H63">
        <v>4.2</v>
      </c>
      <c r="I63" t="b">
        <v>0</v>
      </c>
      <c r="J63">
        <v>14</v>
      </c>
      <c r="K63" t="s">
        <v>14</v>
      </c>
    </row>
    <row r="64" spans="1:11" x14ac:dyDescent="0.35">
      <c r="A64">
        <v>163</v>
      </c>
      <c r="B64" t="s">
        <v>11</v>
      </c>
      <c r="C64">
        <v>42</v>
      </c>
      <c r="D64" t="s">
        <v>19</v>
      </c>
      <c r="E64" t="s">
        <v>20</v>
      </c>
      <c r="F64">
        <v>520.4</v>
      </c>
      <c r="G64">
        <v>9</v>
      </c>
      <c r="H64">
        <v>3.5</v>
      </c>
      <c r="I64" t="b">
        <v>1</v>
      </c>
      <c r="J64">
        <v>37</v>
      </c>
      <c r="K64" t="s">
        <v>21</v>
      </c>
    </row>
    <row r="65" spans="1:11" x14ac:dyDescent="0.35">
      <c r="A65">
        <v>164</v>
      </c>
      <c r="B65" t="s">
        <v>15</v>
      </c>
      <c r="C65">
        <v>29</v>
      </c>
      <c r="D65" t="s">
        <v>22</v>
      </c>
      <c r="E65" t="s">
        <v>13</v>
      </c>
      <c r="F65">
        <v>1370.2</v>
      </c>
      <c r="G65">
        <v>18</v>
      </c>
      <c r="H65">
        <v>4.7</v>
      </c>
      <c r="I65" t="b">
        <v>0</v>
      </c>
      <c r="J65">
        <v>10</v>
      </c>
      <c r="K65" t="s">
        <v>14</v>
      </c>
    </row>
    <row r="66" spans="1:11" x14ac:dyDescent="0.35">
      <c r="A66">
        <v>165</v>
      </c>
      <c r="B66" t="s">
        <v>15</v>
      </c>
      <c r="C66">
        <v>26</v>
      </c>
      <c r="D66" t="s">
        <v>23</v>
      </c>
      <c r="E66" t="s">
        <v>17</v>
      </c>
      <c r="F66">
        <v>690.6</v>
      </c>
      <c r="G66">
        <v>12</v>
      </c>
      <c r="H66">
        <v>3.9</v>
      </c>
      <c r="I66" t="b">
        <v>1</v>
      </c>
      <c r="J66">
        <v>47</v>
      </c>
      <c r="K66" t="s">
        <v>21</v>
      </c>
    </row>
    <row r="67" spans="1:11" x14ac:dyDescent="0.35">
      <c r="A67">
        <v>166</v>
      </c>
      <c r="B67" t="s">
        <v>11</v>
      </c>
      <c r="C67">
        <v>38</v>
      </c>
      <c r="D67" t="s">
        <v>24</v>
      </c>
      <c r="E67" t="s">
        <v>20</v>
      </c>
      <c r="F67">
        <v>440.9</v>
      </c>
      <c r="G67">
        <v>8</v>
      </c>
      <c r="H67">
        <v>3.2</v>
      </c>
      <c r="I67" t="b">
        <v>0</v>
      </c>
      <c r="J67">
        <v>24</v>
      </c>
      <c r="K67" t="s">
        <v>18</v>
      </c>
    </row>
    <row r="68" spans="1:11" x14ac:dyDescent="0.35">
      <c r="A68">
        <v>167</v>
      </c>
      <c r="B68" t="s">
        <v>11</v>
      </c>
      <c r="C68">
        <v>32</v>
      </c>
      <c r="D68" t="s">
        <v>12</v>
      </c>
      <c r="E68" t="s">
        <v>13</v>
      </c>
      <c r="F68">
        <v>1160.3</v>
      </c>
      <c r="G68">
        <v>14</v>
      </c>
      <c r="H68">
        <v>4.4000000000000004</v>
      </c>
      <c r="I68" t="b">
        <v>1</v>
      </c>
      <c r="J68">
        <v>22</v>
      </c>
      <c r="K68" t="s">
        <v>14</v>
      </c>
    </row>
    <row r="69" spans="1:11" x14ac:dyDescent="0.35">
      <c r="A69">
        <v>168</v>
      </c>
      <c r="B69" t="s">
        <v>15</v>
      </c>
      <c r="C69">
        <v>34</v>
      </c>
      <c r="D69" t="s">
        <v>16</v>
      </c>
      <c r="E69" t="s">
        <v>17</v>
      </c>
      <c r="F69">
        <v>800.2</v>
      </c>
      <c r="G69">
        <v>11</v>
      </c>
      <c r="H69">
        <v>4.0999999999999996</v>
      </c>
      <c r="I69" t="b">
        <v>0</v>
      </c>
      <c r="J69">
        <v>17</v>
      </c>
      <c r="K69" t="s">
        <v>18</v>
      </c>
    </row>
    <row r="70" spans="1:11" x14ac:dyDescent="0.35">
      <c r="A70">
        <v>169</v>
      </c>
      <c r="B70" t="s">
        <v>11</v>
      </c>
      <c r="C70">
        <v>43</v>
      </c>
      <c r="D70" t="s">
        <v>19</v>
      </c>
      <c r="E70" t="s">
        <v>20</v>
      </c>
      <c r="F70">
        <v>500.75</v>
      </c>
      <c r="G70">
        <v>10</v>
      </c>
      <c r="H70">
        <v>3.3</v>
      </c>
      <c r="I70" t="b">
        <v>1</v>
      </c>
      <c r="J70">
        <v>40</v>
      </c>
      <c r="K70" t="s">
        <v>21</v>
      </c>
    </row>
    <row r="71" spans="1:11" x14ac:dyDescent="0.35">
      <c r="A71">
        <v>170</v>
      </c>
      <c r="B71" t="s">
        <v>15</v>
      </c>
      <c r="C71">
        <v>30</v>
      </c>
      <c r="D71" t="s">
        <v>22</v>
      </c>
      <c r="E71" t="s">
        <v>13</v>
      </c>
      <c r="F71">
        <v>1460.5</v>
      </c>
      <c r="G71">
        <v>20</v>
      </c>
      <c r="H71">
        <v>4.8</v>
      </c>
      <c r="I71" t="b">
        <v>0</v>
      </c>
      <c r="J71">
        <v>12</v>
      </c>
      <c r="K71" t="s">
        <v>14</v>
      </c>
    </row>
    <row r="72" spans="1:11" x14ac:dyDescent="0.35">
      <c r="A72">
        <v>171</v>
      </c>
      <c r="B72" t="s">
        <v>15</v>
      </c>
      <c r="C72">
        <v>27</v>
      </c>
      <c r="D72" t="s">
        <v>23</v>
      </c>
      <c r="E72" t="s">
        <v>17</v>
      </c>
      <c r="F72">
        <v>700.4</v>
      </c>
      <c r="G72">
        <v>13</v>
      </c>
      <c r="H72">
        <v>4</v>
      </c>
      <c r="I72" t="b">
        <v>1</v>
      </c>
      <c r="J72">
        <v>53</v>
      </c>
      <c r="K72" t="s">
        <v>21</v>
      </c>
    </row>
    <row r="73" spans="1:11" x14ac:dyDescent="0.35">
      <c r="A73">
        <v>172</v>
      </c>
      <c r="B73" t="s">
        <v>11</v>
      </c>
      <c r="C73">
        <v>37</v>
      </c>
      <c r="D73" t="s">
        <v>24</v>
      </c>
      <c r="E73" t="s">
        <v>20</v>
      </c>
      <c r="F73">
        <v>420.8</v>
      </c>
      <c r="G73">
        <v>7</v>
      </c>
      <c r="H73">
        <v>3.1</v>
      </c>
      <c r="I73" t="b">
        <v>0</v>
      </c>
      <c r="J73">
        <v>21</v>
      </c>
    </row>
    <row r="74" spans="1:11" x14ac:dyDescent="0.35">
      <c r="A74">
        <v>173</v>
      </c>
      <c r="B74" t="s">
        <v>11</v>
      </c>
      <c r="C74">
        <v>31</v>
      </c>
      <c r="D74" t="s">
        <v>12</v>
      </c>
      <c r="E74" t="s">
        <v>13</v>
      </c>
      <c r="F74">
        <v>1130.5999999999999</v>
      </c>
      <c r="G74">
        <v>15</v>
      </c>
      <c r="H74">
        <v>4.5</v>
      </c>
      <c r="I74" t="b">
        <v>1</v>
      </c>
      <c r="J74">
        <v>26</v>
      </c>
      <c r="K74" t="s">
        <v>14</v>
      </c>
    </row>
    <row r="75" spans="1:11" x14ac:dyDescent="0.35">
      <c r="A75">
        <v>174</v>
      </c>
      <c r="B75" t="s">
        <v>15</v>
      </c>
      <c r="C75">
        <v>35</v>
      </c>
      <c r="D75" t="s">
        <v>16</v>
      </c>
      <c r="E75" t="s">
        <v>17</v>
      </c>
      <c r="F75">
        <v>820.9</v>
      </c>
      <c r="G75">
        <v>12</v>
      </c>
      <c r="H75">
        <v>4.3</v>
      </c>
      <c r="I75" t="b">
        <v>0</v>
      </c>
      <c r="J75">
        <v>12</v>
      </c>
      <c r="K75" t="s">
        <v>18</v>
      </c>
    </row>
    <row r="76" spans="1:11" x14ac:dyDescent="0.35">
      <c r="A76">
        <v>175</v>
      </c>
      <c r="B76" t="s">
        <v>11</v>
      </c>
      <c r="C76">
        <v>41</v>
      </c>
      <c r="D76" t="s">
        <v>19</v>
      </c>
      <c r="E76" t="s">
        <v>20</v>
      </c>
      <c r="F76">
        <v>480.25</v>
      </c>
      <c r="G76">
        <v>9</v>
      </c>
      <c r="H76">
        <v>3.6</v>
      </c>
      <c r="I76" t="b">
        <v>1</v>
      </c>
      <c r="J76">
        <v>38</v>
      </c>
      <c r="K76" t="s">
        <v>21</v>
      </c>
    </row>
    <row r="77" spans="1:11" x14ac:dyDescent="0.35">
      <c r="A77">
        <v>176</v>
      </c>
      <c r="B77" t="s">
        <v>15</v>
      </c>
      <c r="C77">
        <v>28</v>
      </c>
      <c r="D77" t="s">
        <v>22</v>
      </c>
      <c r="E77" t="s">
        <v>13</v>
      </c>
      <c r="F77">
        <v>1490.1</v>
      </c>
      <c r="G77">
        <v>21</v>
      </c>
      <c r="H77">
        <v>4.9000000000000004</v>
      </c>
      <c r="I77" t="b">
        <v>0</v>
      </c>
      <c r="J77">
        <v>9</v>
      </c>
      <c r="K77" t="s">
        <v>14</v>
      </c>
    </row>
    <row r="78" spans="1:11" x14ac:dyDescent="0.35">
      <c r="A78">
        <v>177</v>
      </c>
      <c r="B78" t="s">
        <v>15</v>
      </c>
      <c r="C78">
        <v>32</v>
      </c>
      <c r="D78" t="s">
        <v>23</v>
      </c>
      <c r="E78" t="s">
        <v>17</v>
      </c>
      <c r="F78">
        <v>680.3</v>
      </c>
      <c r="G78">
        <v>10</v>
      </c>
      <c r="H78">
        <v>3.8</v>
      </c>
      <c r="I78" t="b">
        <v>1</v>
      </c>
      <c r="J78">
        <v>32</v>
      </c>
      <c r="K78" t="s">
        <v>21</v>
      </c>
    </row>
    <row r="79" spans="1:11" x14ac:dyDescent="0.35">
      <c r="A79">
        <v>178</v>
      </c>
      <c r="B79" t="s">
        <v>11</v>
      </c>
      <c r="C79">
        <v>36</v>
      </c>
      <c r="D79" t="s">
        <v>24</v>
      </c>
      <c r="E79" t="s">
        <v>20</v>
      </c>
      <c r="F79">
        <v>470.5</v>
      </c>
      <c r="G79">
        <v>8</v>
      </c>
      <c r="H79">
        <v>3</v>
      </c>
      <c r="I79" t="b">
        <v>0</v>
      </c>
      <c r="J79">
        <v>18</v>
      </c>
      <c r="K79" t="s">
        <v>18</v>
      </c>
    </row>
    <row r="80" spans="1:11" x14ac:dyDescent="0.35">
      <c r="A80">
        <v>179</v>
      </c>
      <c r="B80" t="s">
        <v>11</v>
      </c>
      <c r="C80">
        <v>30</v>
      </c>
      <c r="D80" t="s">
        <v>12</v>
      </c>
      <c r="E80" t="s">
        <v>13</v>
      </c>
      <c r="F80">
        <v>1180.8</v>
      </c>
      <c r="G80">
        <v>16</v>
      </c>
      <c r="H80">
        <v>4.7</v>
      </c>
      <c r="I80" t="b">
        <v>1</v>
      </c>
      <c r="J80">
        <v>19</v>
      </c>
      <c r="K80" t="s">
        <v>14</v>
      </c>
    </row>
    <row r="81" spans="1:11" x14ac:dyDescent="0.35">
      <c r="A81">
        <v>180</v>
      </c>
      <c r="B81" t="s">
        <v>15</v>
      </c>
      <c r="C81">
        <v>34</v>
      </c>
      <c r="D81" t="s">
        <v>16</v>
      </c>
      <c r="E81" t="s">
        <v>17</v>
      </c>
      <c r="F81">
        <v>790.2</v>
      </c>
      <c r="G81">
        <v>11</v>
      </c>
      <c r="H81">
        <v>4</v>
      </c>
      <c r="I81" t="b">
        <v>0</v>
      </c>
      <c r="J81">
        <v>15</v>
      </c>
      <c r="K81" t="s">
        <v>18</v>
      </c>
    </row>
    <row r="82" spans="1:11" x14ac:dyDescent="0.35">
      <c r="A82">
        <v>181</v>
      </c>
      <c r="B82" t="s">
        <v>11</v>
      </c>
      <c r="C82">
        <v>43</v>
      </c>
      <c r="D82" t="s">
        <v>19</v>
      </c>
      <c r="E82" t="s">
        <v>20</v>
      </c>
      <c r="F82">
        <v>505.75</v>
      </c>
      <c r="G82">
        <v>10</v>
      </c>
      <c r="H82">
        <v>3.3</v>
      </c>
      <c r="I82" t="b">
        <v>1</v>
      </c>
      <c r="J82">
        <v>39</v>
      </c>
      <c r="K82" t="s">
        <v>21</v>
      </c>
    </row>
    <row r="83" spans="1:11" x14ac:dyDescent="0.35">
      <c r="A83">
        <v>182</v>
      </c>
      <c r="B83" t="s">
        <v>15</v>
      </c>
      <c r="C83">
        <v>30</v>
      </c>
      <c r="D83" t="s">
        <v>22</v>
      </c>
      <c r="E83" t="s">
        <v>13</v>
      </c>
      <c r="F83">
        <v>1470.5</v>
      </c>
      <c r="G83">
        <v>20</v>
      </c>
      <c r="H83">
        <v>4.8</v>
      </c>
      <c r="I83" t="b">
        <v>0</v>
      </c>
      <c r="J83">
        <v>13</v>
      </c>
      <c r="K83" t="s">
        <v>14</v>
      </c>
    </row>
    <row r="84" spans="1:11" x14ac:dyDescent="0.35">
      <c r="A84">
        <v>183</v>
      </c>
      <c r="B84" t="s">
        <v>15</v>
      </c>
      <c r="C84">
        <v>27</v>
      </c>
      <c r="D84" t="s">
        <v>23</v>
      </c>
      <c r="E84" t="s">
        <v>17</v>
      </c>
      <c r="F84">
        <v>710.4</v>
      </c>
      <c r="G84">
        <v>13</v>
      </c>
      <c r="H84">
        <v>4.0999999999999996</v>
      </c>
      <c r="I84" t="b">
        <v>1</v>
      </c>
      <c r="J84">
        <v>54</v>
      </c>
      <c r="K84" t="s">
        <v>21</v>
      </c>
    </row>
    <row r="85" spans="1:11" x14ac:dyDescent="0.35">
      <c r="A85">
        <v>184</v>
      </c>
      <c r="B85" t="s">
        <v>11</v>
      </c>
      <c r="C85">
        <v>37</v>
      </c>
      <c r="D85" t="s">
        <v>24</v>
      </c>
      <c r="E85" t="s">
        <v>20</v>
      </c>
      <c r="F85">
        <v>430.8</v>
      </c>
      <c r="G85">
        <v>7</v>
      </c>
      <c r="H85">
        <v>3.4</v>
      </c>
      <c r="I85" t="b">
        <v>0</v>
      </c>
      <c r="J85">
        <v>23</v>
      </c>
      <c r="K85" t="s">
        <v>18</v>
      </c>
    </row>
    <row r="86" spans="1:11" x14ac:dyDescent="0.35">
      <c r="A86">
        <v>185</v>
      </c>
      <c r="B86" t="s">
        <v>11</v>
      </c>
      <c r="C86">
        <v>31</v>
      </c>
      <c r="D86" t="s">
        <v>12</v>
      </c>
      <c r="E86" t="s">
        <v>13</v>
      </c>
      <c r="F86">
        <v>1140.5999999999999</v>
      </c>
      <c r="G86">
        <v>15</v>
      </c>
      <c r="H86">
        <v>4.5999999999999996</v>
      </c>
      <c r="I86" t="b">
        <v>1</v>
      </c>
      <c r="J86">
        <v>27</v>
      </c>
      <c r="K86" t="s">
        <v>14</v>
      </c>
    </row>
    <row r="87" spans="1:11" x14ac:dyDescent="0.35">
      <c r="A87">
        <v>186</v>
      </c>
      <c r="B87" t="s">
        <v>15</v>
      </c>
      <c r="C87">
        <v>35</v>
      </c>
      <c r="D87" t="s">
        <v>16</v>
      </c>
      <c r="E87" t="s">
        <v>17</v>
      </c>
      <c r="F87">
        <v>810.9</v>
      </c>
      <c r="G87">
        <v>12</v>
      </c>
      <c r="H87">
        <v>4.3</v>
      </c>
      <c r="I87" t="b">
        <v>0</v>
      </c>
      <c r="J87">
        <v>13</v>
      </c>
      <c r="K87" t="s">
        <v>18</v>
      </c>
    </row>
    <row r="88" spans="1:11" x14ac:dyDescent="0.35">
      <c r="A88">
        <v>187</v>
      </c>
      <c r="B88" t="s">
        <v>11</v>
      </c>
      <c r="C88">
        <v>41</v>
      </c>
      <c r="D88" t="s">
        <v>19</v>
      </c>
      <c r="E88" t="s">
        <v>20</v>
      </c>
      <c r="F88">
        <v>485.25</v>
      </c>
      <c r="G88">
        <v>9</v>
      </c>
      <c r="H88">
        <v>3.6</v>
      </c>
      <c r="I88" t="b">
        <v>1</v>
      </c>
      <c r="J88">
        <v>39</v>
      </c>
      <c r="K88" t="s">
        <v>21</v>
      </c>
    </row>
    <row r="89" spans="1:11" x14ac:dyDescent="0.35">
      <c r="A89">
        <v>188</v>
      </c>
      <c r="B89" t="s">
        <v>15</v>
      </c>
      <c r="C89">
        <v>28</v>
      </c>
      <c r="D89" t="s">
        <v>22</v>
      </c>
      <c r="E89" t="s">
        <v>13</v>
      </c>
      <c r="F89">
        <v>1500.1</v>
      </c>
      <c r="G89">
        <v>21</v>
      </c>
      <c r="H89">
        <v>4.9000000000000004</v>
      </c>
      <c r="I89" t="b">
        <v>0</v>
      </c>
      <c r="J89">
        <v>10</v>
      </c>
      <c r="K89" t="s">
        <v>14</v>
      </c>
    </row>
    <row r="90" spans="1:11" x14ac:dyDescent="0.35">
      <c r="A90">
        <v>189</v>
      </c>
      <c r="B90" t="s">
        <v>15</v>
      </c>
      <c r="C90">
        <v>32</v>
      </c>
      <c r="D90" t="s">
        <v>23</v>
      </c>
      <c r="E90" t="s">
        <v>17</v>
      </c>
      <c r="F90">
        <v>670.3</v>
      </c>
      <c r="G90">
        <v>10</v>
      </c>
      <c r="H90">
        <v>3.8</v>
      </c>
      <c r="I90" t="b">
        <v>1</v>
      </c>
      <c r="J90">
        <v>33</v>
      </c>
      <c r="K90" t="s">
        <v>21</v>
      </c>
    </row>
    <row r="91" spans="1:11" x14ac:dyDescent="0.35">
      <c r="A91">
        <v>190</v>
      </c>
      <c r="B91" t="s">
        <v>11</v>
      </c>
      <c r="C91">
        <v>36</v>
      </c>
      <c r="D91" t="s">
        <v>24</v>
      </c>
      <c r="E91" t="s">
        <v>20</v>
      </c>
      <c r="F91">
        <v>460.5</v>
      </c>
      <c r="G91">
        <v>8</v>
      </c>
      <c r="H91">
        <v>3.1</v>
      </c>
      <c r="I91" t="b">
        <v>0</v>
      </c>
      <c r="J91">
        <v>19</v>
      </c>
      <c r="K91" t="s">
        <v>18</v>
      </c>
    </row>
    <row r="92" spans="1:11" x14ac:dyDescent="0.35">
      <c r="A92">
        <v>191</v>
      </c>
      <c r="B92" t="s">
        <v>11</v>
      </c>
      <c r="C92">
        <v>30</v>
      </c>
      <c r="D92" t="s">
        <v>12</v>
      </c>
      <c r="E92" t="s">
        <v>13</v>
      </c>
      <c r="F92">
        <v>1190.8</v>
      </c>
      <c r="G92">
        <v>16</v>
      </c>
      <c r="H92">
        <v>4.5</v>
      </c>
      <c r="I92" t="b">
        <v>1</v>
      </c>
      <c r="J92">
        <v>20</v>
      </c>
      <c r="K92" t="s">
        <v>14</v>
      </c>
    </row>
    <row r="93" spans="1:11" x14ac:dyDescent="0.35">
      <c r="A93">
        <v>192</v>
      </c>
      <c r="B93" t="s">
        <v>15</v>
      </c>
      <c r="C93">
        <v>33</v>
      </c>
      <c r="D93" t="s">
        <v>16</v>
      </c>
      <c r="E93" t="s">
        <v>17</v>
      </c>
      <c r="F93">
        <v>830.75</v>
      </c>
      <c r="G93">
        <v>13</v>
      </c>
      <c r="H93">
        <v>4.2</v>
      </c>
      <c r="I93" t="b">
        <v>0</v>
      </c>
      <c r="J93">
        <v>14</v>
      </c>
      <c r="K93" t="s">
        <v>14</v>
      </c>
    </row>
    <row r="94" spans="1:11" x14ac:dyDescent="0.35">
      <c r="A94">
        <v>193</v>
      </c>
      <c r="B94" t="s">
        <v>11</v>
      </c>
      <c r="C94">
        <v>42</v>
      </c>
      <c r="D94" t="s">
        <v>19</v>
      </c>
      <c r="E94" t="s">
        <v>20</v>
      </c>
      <c r="F94">
        <v>520.4</v>
      </c>
      <c r="G94">
        <v>9</v>
      </c>
      <c r="H94">
        <v>3.5</v>
      </c>
      <c r="I94" t="b">
        <v>1</v>
      </c>
      <c r="J94">
        <v>37</v>
      </c>
      <c r="K94" t="s">
        <v>21</v>
      </c>
    </row>
    <row r="95" spans="1:11" x14ac:dyDescent="0.35">
      <c r="A95">
        <v>194</v>
      </c>
      <c r="B95" t="s">
        <v>15</v>
      </c>
      <c r="C95">
        <v>29</v>
      </c>
      <c r="D95" t="s">
        <v>22</v>
      </c>
      <c r="E95" t="s">
        <v>13</v>
      </c>
      <c r="F95">
        <v>1370.2</v>
      </c>
      <c r="G95">
        <v>18</v>
      </c>
      <c r="H95">
        <v>4.7</v>
      </c>
      <c r="I95" t="b">
        <v>0</v>
      </c>
      <c r="J95">
        <v>10</v>
      </c>
      <c r="K95" t="s">
        <v>14</v>
      </c>
    </row>
    <row r="96" spans="1:11" x14ac:dyDescent="0.35">
      <c r="A96">
        <v>195</v>
      </c>
      <c r="B96" t="s">
        <v>15</v>
      </c>
      <c r="C96">
        <v>26</v>
      </c>
      <c r="D96" t="s">
        <v>23</v>
      </c>
      <c r="E96" t="s">
        <v>17</v>
      </c>
      <c r="F96">
        <v>690.6</v>
      </c>
      <c r="G96">
        <v>12</v>
      </c>
      <c r="H96">
        <v>3.9</v>
      </c>
      <c r="I96" t="b">
        <v>1</v>
      </c>
      <c r="J96">
        <v>47</v>
      </c>
      <c r="K96" t="s">
        <v>21</v>
      </c>
    </row>
    <row r="97" spans="1:11" x14ac:dyDescent="0.35">
      <c r="A97">
        <v>196</v>
      </c>
      <c r="B97" t="s">
        <v>11</v>
      </c>
      <c r="C97">
        <v>38</v>
      </c>
      <c r="D97" t="s">
        <v>24</v>
      </c>
      <c r="E97" t="s">
        <v>20</v>
      </c>
      <c r="F97">
        <v>440.9</v>
      </c>
      <c r="G97">
        <v>8</v>
      </c>
      <c r="H97">
        <v>3.2</v>
      </c>
      <c r="I97" t="b">
        <v>0</v>
      </c>
      <c r="J97">
        <v>24</v>
      </c>
      <c r="K97" t="s">
        <v>18</v>
      </c>
    </row>
    <row r="98" spans="1:11" x14ac:dyDescent="0.35">
      <c r="A98">
        <v>197</v>
      </c>
      <c r="B98" t="s">
        <v>11</v>
      </c>
      <c r="C98">
        <v>32</v>
      </c>
      <c r="D98" t="s">
        <v>12</v>
      </c>
      <c r="E98" t="s">
        <v>13</v>
      </c>
      <c r="F98">
        <v>1160.3</v>
      </c>
      <c r="G98">
        <v>14</v>
      </c>
      <c r="H98">
        <v>4.4000000000000004</v>
      </c>
      <c r="I98" t="b">
        <v>1</v>
      </c>
      <c r="J98">
        <v>22</v>
      </c>
      <c r="K98" t="s">
        <v>14</v>
      </c>
    </row>
    <row r="99" spans="1:11" x14ac:dyDescent="0.35">
      <c r="A99">
        <v>198</v>
      </c>
      <c r="B99" t="s">
        <v>15</v>
      </c>
      <c r="C99">
        <v>34</v>
      </c>
      <c r="D99" t="s">
        <v>16</v>
      </c>
      <c r="E99" t="s">
        <v>17</v>
      </c>
      <c r="F99">
        <v>800.2</v>
      </c>
      <c r="G99">
        <v>11</v>
      </c>
      <c r="H99">
        <v>4.0999999999999996</v>
      </c>
      <c r="I99" t="b">
        <v>0</v>
      </c>
      <c r="J99">
        <v>17</v>
      </c>
      <c r="K99" t="s">
        <v>18</v>
      </c>
    </row>
    <row r="100" spans="1:11" x14ac:dyDescent="0.35">
      <c r="A100">
        <v>199</v>
      </c>
      <c r="B100" t="s">
        <v>11</v>
      </c>
      <c r="C100">
        <v>43</v>
      </c>
      <c r="D100" t="s">
        <v>19</v>
      </c>
      <c r="E100" t="s">
        <v>20</v>
      </c>
      <c r="F100">
        <v>500.75</v>
      </c>
      <c r="G100">
        <v>10</v>
      </c>
      <c r="H100">
        <v>3.3</v>
      </c>
      <c r="I100" t="b">
        <v>1</v>
      </c>
      <c r="J100">
        <v>40</v>
      </c>
      <c r="K100" t="s">
        <v>21</v>
      </c>
    </row>
    <row r="101" spans="1:11" x14ac:dyDescent="0.35">
      <c r="A101">
        <v>200</v>
      </c>
      <c r="B101" t="s">
        <v>15</v>
      </c>
      <c r="C101">
        <v>30</v>
      </c>
      <c r="D101" t="s">
        <v>22</v>
      </c>
      <c r="E101" t="s">
        <v>13</v>
      </c>
      <c r="F101">
        <v>1460.5</v>
      </c>
      <c r="G101">
        <v>20</v>
      </c>
      <c r="H101">
        <v>4.8</v>
      </c>
      <c r="I101" t="b">
        <v>0</v>
      </c>
      <c r="J101">
        <v>12</v>
      </c>
      <c r="K101" t="s">
        <v>14</v>
      </c>
    </row>
    <row r="102" spans="1:11" x14ac:dyDescent="0.35">
      <c r="A102">
        <v>201</v>
      </c>
      <c r="B102" t="s">
        <v>15</v>
      </c>
      <c r="C102">
        <v>27</v>
      </c>
      <c r="D102" t="s">
        <v>23</v>
      </c>
      <c r="E102" t="s">
        <v>17</v>
      </c>
      <c r="F102">
        <v>700.4</v>
      </c>
      <c r="G102">
        <v>13</v>
      </c>
      <c r="H102">
        <v>4</v>
      </c>
      <c r="I102" t="b">
        <v>1</v>
      </c>
      <c r="J102">
        <v>53</v>
      </c>
      <c r="K102" t="s">
        <v>21</v>
      </c>
    </row>
    <row r="103" spans="1:11" x14ac:dyDescent="0.35">
      <c r="A103">
        <v>202</v>
      </c>
      <c r="B103" t="s">
        <v>11</v>
      </c>
      <c r="C103">
        <v>37</v>
      </c>
      <c r="D103" t="s">
        <v>24</v>
      </c>
      <c r="E103" t="s">
        <v>20</v>
      </c>
      <c r="F103">
        <v>420.8</v>
      </c>
      <c r="G103">
        <v>7</v>
      </c>
      <c r="H103">
        <v>3.1</v>
      </c>
      <c r="I103" t="b">
        <v>0</v>
      </c>
      <c r="J103">
        <v>21</v>
      </c>
      <c r="K103" t="s">
        <v>18</v>
      </c>
    </row>
    <row r="104" spans="1:11" x14ac:dyDescent="0.35">
      <c r="A104">
        <v>203</v>
      </c>
      <c r="B104" t="s">
        <v>11</v>
      </c>
      <c r="C104">
        <v>31</v>
      </c>
      <c r="D104" t="s">
        <v>12</v>
      </c>
      <c r="E104" t="s">
        <v>13</v>
      </c>
      <c r="F104">
        <v>1130.5999999999999</v>
      </c>
      <c r="G104">
        <v>15</v>
      </c>
      <c r="H104">
        <v>4.5</v>
      </c>
      <c r="I104" t="b">
        <v>1</v>
      </c>
      <c r="J104">
        <v>26</v>
      </c>
      <c r="K104" t="s">
        <v>14</v>
      </c>
    </row>
    <row r="105" spans="1:11" x14ac:dyDescent="0.35">
      <c r="A105">
        <v>204</v>
      </c>
      <c r="B105" t="s">
        <v>15</v>
      </c>
      <c r="C105">
        <v>35</v>
      </c>
      <c r="D105" t="s">
        <v>16</v>
      </c>
      <c r="E105" t="s">
        <v>17</v>
      </c>
      <c r="F105">
        <v>820.9</v>
      </c>
      <c r="G105">
        <v>12</v>
      </c>
      <c r="H105">
        <v>4.3</v>
      </c>
      <c r="I105" t="b">
        <v>0</v>
      </c>
      <c r="J105">
        <v>12</v>
      </c>
      <c r="K105" t="s">
        <v>18</v>
      </c>
    </row>
    <row r="106" spans="1:11" x14ac:dyDescent="0.35">
      <c r="A106">
        <v>205</v>
      </c>
      <c r="B106" t="s">
        <v>11</v>
      </c>
      <c r="C106">
        <v>41</v>
      </c>
      <c r="D106" t="s">
        <v>19</v>
      </c>
      <c r="E106" t="s">
        <v>20</v>
      </c>
      <c r="F106">
        <v>480.25</v>
      </c>
      <c r="G106">
        <v>9</v>
      </c>
      <c r="H106">
        <v>3.6</v>
      </c>
      <c r="I106" t="b">
        <v>1</v>
      </c>
      <c r="J106">
        <v>38</v>
      </c>
      <c r="K106" t="s">
        <v>21</v>
      </c>
    </row>
    <row r="107" spans="1:11" x14ac:dyDescent="0.35">
      <c r="A107">
        <v>206</v>
      </c>
      <c r="B107" t="s">
        <v>15</v>
      </c>
      <c r="C107">
        <v>28</v>
      </c>
      <c r="D107" t="s">
        <v>22</v>
      </c>
      <c r="E107" t="s">
        <v>13</v>
      </c>
      <c r="F107">
        <v>1490.1</v>
      </c>
      <c r="G107">
        <v>21</v>
      </c>
      <c r="H107">
        <v>4.9000000000000004</v>
      </c>
      <c r="I107" t="b">
        <v>0</v>
      </c>
      <c r="J107">
        <v>9</v>
      </c>
      <c r="K107" t="s">
        <v>14</v>
      </c>
    </row>
    <row r="108" spans="1:11" x14ac:dyDescent="0.35">
      <c r="A108">
        <v>207</v>
      </c>
      <c r="B108" t="s">
        <v>15</v>
      </c>
      <c r="C108">
        <v>32</v>
      </c>
      <c r="D108" t="s">
        <v>23</v>
      </c>
      <c r="E108" t="s">
        <v>17</v>
      </c>
      <c r="F108">
        <v>680.3</v>
      </c>
      <c r="G108">
        <v>10</v>
      </c>
      <c r="H108">
        <v>3.8</v>
      </c>
      <c r="I108" t="b">
        <v>1</v>
      </c>
      <c r="J108">
        <v>32</v>
      </c>
      <c r="K108" t="s">
        <v>21</v>
      </c>
    </row>
    <row r="109" spans="1:11" x14ac:dyDescent="0.35">
      <c r="A109">
        <v>208</v>
      </c>
      <c r="B109" t="s">
        <v>11</v>
      </c>
      <c r="C109">
        <v>36</v>
      </c>
      <c r="D109" t="s">
        <v>24</v>
      </c>
      <c r="E109" t="s">
        <v>20</v>
      </c>
      <c r="F109">
        <v>470.5</v>
      </c>
      <c r="G109">
        <v>8</v>
      </c>
      <c r="H109">
        <v>3</v>
      </c>
      <c r="I109" t="b">
        <v>0</v>
      </c>
      <c r="J109">
        <v>18</v>
      </c>
      <c r="K109" t="s">
        <v>18</v>
      </c>
    </row>
    <row r="110" spans="1:11" x14ac:dyDescent="0.35">
      <c r="A110">
        <v>209</v>
      </c>
      <c r="B110" t="s">
        <v>11</v>
      </c>
      <c r="C110">
        <v>30</v>
      </c>
      <c r="D110" t="s">
        <v>12</v>
      </c>
      <c r="E110" t="s">
        <v>13</v>
      </c>
      <c r="F110">
        <v>1180.8</v>
      </c>
      <c r="G110">
        <v>16</v>
      </c>
      <c r="H110">
        <v>4.7</v>
      </c>
      <c r="I110" t="b">
        <v>1</v>
      </c>
      <c r="J110">
        <v>19</v>
      </c>
      <c r="K110" t="s">
        <v>14</v>
      </c>
    </row>
    <row r="111" spans="1:11" x14ac:dyDescent="0.35">
      <c r="A111">
        <v>210</v>
      </c>
      <c r="B111" t="s">
        <v>15</v>
      </c>
      <c r="C111">
        <v>34</v>
      </c>
      <c r="D111" t="s">
        <v>16</v>
      </c>
      <c r="E111" t="s">
        <v>17</v>
      </c>
      <c r="F111">
        <v>790.2</v>
      </c>
      <c r="G111">
        <v>11</v>
      </c>
      <c r="H111">
        <v>4</v>
      </c>
      <c r="I111" t="b">
        <v>0</v>
      </c>
      <c r="J111">
        <v>15</v>
      </c>
      <c r="K111" t="s">
        <v>18</v>
      </c>
    </row>
    <row r="112" spans="1:11" x14ac:dyDescent="0.35">
      <c r="A112">
        <v>211</v>
      </c>
      <c r="B112" t="s">
        <v>11</v>
      </c>
      <c r="C112">
        <v>43</v>
      </c>
      <c r="D112" t="s">
        <v>19</v>
      </c>
      <c r="E112" t="s">
        <v>20</v>
      </c>
      <c r="F112">
        <v>505.75</v>
      </c>
      <c r="G112">
        <v>10</v>
      </c>
      <c r="H112">
        <v>3.3</v>
      </c>
      <c r="I112" t="b">
        <v>1</v>
      </c>
      <c r="J112">
        <v>39</v>
      </c>
      <c r="K112" t="s">
        <v>21</v>
      </c>
    </row>
    <row r="113" spans="1:11" x14ac:dyDescent="0.35">
      <c r="A113">
        <v>212</v>
      </c>
      <c r="B113" t="s">
        <v>15</v>
      </c>
      <c r="C113">
        <v>30</v>
      </c>
      <c r="D113" t="s">
        <v>22</v>
      </c>
      <c r="E113" t="s">
        <v>13</v>
      </c>
      <c r="F113">
        <v>1470.5</v>
      </c>
      <c r="G113">
        <v>20</v>
      </c>
      <c r="H113">
        <v>4.8</v>
      </c>
      <c r="I113" t="b">
        <v>0</v>
      </c>
      <c r="J113">
        <v>13</v>
      </c>
      <c r="K113" t="s">
        <v>14</v>
      </c>
    </row>
    <row r="114" spans="1:11" x14ac:dyDescent="0.35">
      <c r="A114">
        <v>213</v>
      </c>
      <c r="B114" t="s">
        <v>15</v>
      </c>
      <c r="C114">
        <v>27</v>
      </c>
      <c r="D114" t="s">
        <v>23</v>
      </c>
      <c r="E114" t="s">
        <v>17</v>
      </c>
      <c r="F114">
        <v>710.4</v>
      </c>
      <c r="G114">
        <v>13</v>
      </c>
      <c r="H114">
        <v>4.0999999999999996</v>
      </c>
      <c r="I114" t="b">
        <v>1</v>
      </c>
      <c r="J114">
        <v>54</v>
      </c>
      <c r="K114" t="s">
        <v>21</v>
      </c>
    </row>
    <row r="115" spans="1:11" x14ac:dyDescent="0.35">
      <c r="A115">
        <v>214</v>
      </c>
      <c r="B115" t="s">
        <v>11</v>
      </c>
      <c r="C115">
        <v>37</v>
      </c>
      <c r="D115" t="s">
        <v>24</v>
      </c>
      <c r="E115" t="s">
        <v>20</v>
      </c>
      <c r="F115">
        <v>430.8</v>
      </c>
      <c r="G115">
        <v>7</v>
      </c>
      <c r="H115">
        <v>3.4</v>
      </c>
      <c r="I115" t="b">
        <v>0</v>
      </c>
      <c r="J115">
        <v>23</v>
      </c>
      <c r="K115" t="s">
        <v>18</v>
      </c>
    </row>
    <row r="116" spans="1:11" x14ac:dyDescent="0.35">
      <c r="A116">
        <v>215</v>
      </c>
      <c r="B116" t="s">
        <v>11</v>
      </c>
      <c r="C116">
        <v>31</v>
      </c>
      <c r="D116" t="s">
        <v>12</v>
      </c>
      <c r="E116" t="s">
        <v>13</v>
      </c>
      <c r="F116">
        <v>1140.5999999999999</v>
      </c>
      <c r="G116">
        <v>15</v>
      </c>
      <c r="H116">
        <v>4.5999999999999996</v>
      </c>
      <c r="I116" t="b">
        <v>1</v>
      </c>
      <c r="J116">
        <v>27</v>
      </c>
      <c r="K116" t="s">
        <v>14</v>
      </c>
    </row>
    <row r="117" spans="1:11" x14ac:dyDescent="0.35">
      <c r="A117">
        <v>216</v>
      </c>
      <c r="B117" t="s">
        <v>15</v>
      </c>
      <c r="C117">
        <v>35</v>
      </c>
      <c r="D117" t="s">
        <v>16</v>
      </c>
      <c r="E117" t="s">
        <v>17</v>
      </c>
      <c r="F117">
        <v>810.9</v>
      </c>
      <c r="G117">
        <v>12</v>
      </c>
      <c r="H117">
        <v>4.3</v>
      </c>
      <c r="I117" t="b">
        <v>0</v>
      </c>
      <c r="J117">
        <v>13</v>
      </c>
      <c r="K117" t="s">
        <v>18</v>
      </c>
    </row>
    <row r="118" spans="1:11" x14ac:dyDescent="0.35">
      <c r="A118">
        <v>217</v>
      </c>
      <c r="B118" t="s">
        <v>11</v>
      </c>
      <c r="C118">
        <v>41</v>
      </c>
      <c r="D118" t="s">
        <v>19</v>
      </c>
      <c r="E118" t="s">
        <v>20</v>
      </c>
      <c r="F118">
        <v>485.25</v>
      </c>
      <c r="G118">
        <v>9</v>
      </c>
      <c r="H118">
        <v>3.6</v>
      </c>
      <c r="I118" t="b">
        <v>1</v>
      </c>
      <c r="J118">
        <v>39</v>
      </c>
      <c r="K118" t="s">
        <v>21</v>
      </c>
    </row>
    <row r="119" spans="1:11" x14ac:dyDescent="0.35">
      <c r="A119">
        <v>218</v>
      </c>
      <c r="B119" t="s">
        <v>15</v>
      </c>
      <c r="C119">
        <v>28</v>
      </c>
      <c r="D119" t="s">
        <v>22</v>
      </c>
      <c r="E119" t="s">
        <v>13</v>
      </c>
      <c r="F119">
        <v>1500.1</v>
      </c>
      <c r="G119">
        <v>21</v>
      </c>
      <c r="H119">
        <v>4.9000000000000004</v>
      </c>
      <c r="I119" t="b">
        <v>0</v>
      </c>
      <c r="J119">
        <v>10</v>
      </c>
      <c r="K119" t="s">
        <v>14</v>
      </c>
    </row>
    <row r="120" spans="1:11" x14ac:dyDescent="0.35">
      <c r="A120">
        <v>219</v>
      </c>
      <c r="B120" t="s">
        <v>15</v>
      </c>
      <c r="C120">
        <v>32</v>
      </c>
      <c r="D120" t="s">
        <v>23</v>
      </c>
      <c r="E120" t="s">
        <v>17</v>
      </c>
      <c r="F120">
        <v>670.3</v>
      </c>
      <c r="G120">
        <v>10</v>
      </c>
      <c r="H120">
        <v>3.8</v>
      </c>
      <c r="I120" t="b">
        <v>1</v>
      </c>
      <c r="J120">
        <v>33</v>
      </c>
      <c r="K120" t="s">
        <v>21</v>
      </c>
    </row>
    <row r="121" spans="1:11" x14ac:dyDescent="0.35">
      <c r="A121">
        <v>220</v>
      </c>
      <c r="B121" t="s">
        <v>11</v>
      </c>
      <c r="C121">
        <v>36</v>
      </c>
      <c r="D121" t="s">
        <v>24</v>
      </c>
      <c r="E121" t="s">
        <v>20</v>
      </c>
      <c r="F121">
        <v>460.5</v>
      </c>
      <c r="G121">
        <v>8</v>
      </c>
      <c r="H121">
        <v>3.1</v>
      </c>
      <c r="I121" t="b">
        <v>0</v>
      </c>
      <c r="J121">
        <v>19</v>
      </c>
      <c r="K121" t="s">
        <v>18</v>
      </c>
    </row>
    <row r="122" spans="1:11" x14ac:dyDescent="0.35">
      <c r="A122">
        <v>221</v>
      </c>
      <c r="B122" t="s">
        <v>11</v>
      </c>
      <c r="C122">
        <v>30</v>
      </c>
      <c r="D122" t="s">
        <v>12</v>
      </c>
      <c r="E122" t="s">
        <v>13</v>
      </c>
      <c r="F122">
        <v>1190.8</v>
      </c>
      <c r="G122">
        <v>16</v>
      </c>
      <c r="H122">
        <v>4.5</v>
      </c>
      <c r="I122" t="b">
        <v>1</v>
      </c>
      <c r="J122">
        <v>20</v>
      </c>
      <c r="K122" t="s">
        <v>14</v>
      </c>
    </row>
    <row r="123" spans="1:11" x14ac:dyDescent="0.35">
      <c r="A123">
        <v>222</v>
      </c>
      <c r="B123" t="s">
        <v>15</v>
      </c>
      <c r="C123">
        <v>33</v>
      </c>
      <c r="D123" t="s">
        <v>16</v>
      </c>
      <c r="E123" t="s">
        <v>17</v>
      </c>
      <c r="F123">
        <v>830.75</v>
      </c>
      <c r="G123">
        <v>13</v>
      </c>
      <c r="H123">
        <v>4.2</v>
      </c>
      <c r="I123" t="b">
        <v>0</v>
      </c>
      <c r="J123">
        <v>14</v>
      </c>
      <c r="K123" t="s">
        <v>14</v>
      </c>
    </row>
    <row r="124" spans="1:11" x14ac:dyDescent="0.35">
      <c r="A124">
        <v>223</v>
      </c>
      <c r="B124" t="s">
        <v>11</v>
      </c>
      <c r="C124">
        <v>42</v>
      </c>
      <c r="D124" t="s">
        <v>19</v>
      </c>
      <c r="E124" t="s">
        <v>20</v>
      </c>
      <c r="F124">
        <v>520.4</v>
      </c>
      <c r="G124">
        <v>9</v>
      </c>
      <c r="H124">
        <v>3.5</v>
      </c>
      <c r="I124" t="b">
        <v>1</v>
      </c>
      <c r="J124">
        <v>37</v>
      </c>
      <c r="K124" t="s">
        <v>21</v>
      </c>
    </row>
    <row r="125" spans="1:11" x14ac:dyDescent="0.35">
      <c r="A125">
        <v>224</v>
      </c>
      <c r="B125" t="s">
        <v>15</v>
      </c>
      <c r="C125">
        <v>29</v>
      </c>
      <c r="D125" t="s">
        <v>22</v>
      </c>
      <c r="E125" t="s">
        <v>13</v>
      </c>
      <c r="F125">
        <v>1370.2</v>
      </c>
      <c r="G125">
        <v>18</v>
      </c>
      <c r="H125">
        <v>4.7</v>
      </c>
      <c r="I125" t="b">
        <v>0</v>
      </c>
      <c r="J125">
        <v>10</v>
      </c>
      <c r="K125" t="s">
        <v>14</v>
      </c>
    </row>
    <row r="126" spans="1:11" x14ac:dyDescent="0.35">
      <c r="A126">
        <v>225</v>
      </c>
      <c r="B126" t="s">
        <v>15</v>
      </c>
      <c r="C126">
        <v>26</v>
      </c>
      <c r="D126" t="s">
        <v>23</v>
      </c>
      <c r="E126" t="s">
        <v>17</v>
      </c>
      <c r="F126">
        <v>690.6</v>
      </c>
      <c r="G126">
        <v>12</v>
      </c>
      <c r="H126">
        <v>3.9</v>
      </c>
      <c r="I126" t="b">
        <v>1</v>
      </c>
      <c r="J126">
        <v>47</v>
      </c>
      <c r="K126" t="s">
        <v>21</v>
      </c>
    </row>
    <row r="127" spans="1:11" x14ac:dyDescent="0.35">
      <c r="A127">
        <v>226</v>
      </c>
      <c r="B127" t="s">
        <v>11</v>
      </c>
      <c r="C127">
        <v>38</v>
      </c>
      <c r="D127" t="s">
        <v>24</v>
      </c>
      <c r="E127" t="s">
        <v>20</v>
      </c>
      <c r="F127">
        <v>440.9</v>
      </c>
      <c r="G127">
        <v>8</v>
      </c>
      <c r="H127">
        <v>3.2</v>
      </c>
      <c r="I127" t="b">
        <v>0</v>
      </c>
      <c r="J127">
        <v>24</v>
      </c>
      <c r="K127" t="s">
        <v>18</v>
      </c>
    </row>
    <row r="128" spans="1:11" x14ac:dyDescent="0.35">
      <c r="A128">
        <v>227</v>
      </c>
      <c r="B128" t="s">
        <v>11</v>
      </c>
      <c r="C128">
        <v>32</v>
      </c>
      <c r="D128" t="s">
        <v>12</v>
      </c>
      <c r="E128" t="s">
        <v>13</v>
      </c>
      <c r="F128">
        <v>1160.3</v>
      </c>
      <c r="G128">
        <v>14</v>
      </c>
      <c r="H128">
        <v>4.4000000000000004</v>
      </c>
      <c r="I128" t="b">
        <v>1</v>
      </c>
      <c r="J128">
        <v>22</v>
      </c>
      <c r="K128" t="s">
        <v>14</v>
      </c>
    </row>
    <row r="129" spans="1:11" x14ac:dyDescent="0.35">
      <c r="A129">
        <v>228</v>
      </c>
      <c r="B129" t="s">
        <v>15</v>
      </c>
      <c r="C129">
        <v>34</v>
      </c>
      <c r="D129" t="s">
        <v>16</v>
      </c>
      <c r="E129" t="s">
        <v>17</v>
      </c>
      <c r="F129">
        <v>800.2</v>
      </c>
      <c r="G129">
        <v>11</v>
      </c>
      <c r="H129">
        <v>4.0999999999999996</v>
      </c>
      <c r="I129" t="b">
        <v>0</v>
      </c>
      <c r="J129">
        <v>17</v>
      </c>
      <c r="K129" t="s">
        <v>18</v>
      </c>
    </row>
    <row r="130" spans="1:11" x14ac:dyDescent="0.35">
      <c r="A130">
        <v>229</v>
      </c>
      <c r="B130" t="s">
        <v>11</v>
      </c>
      <c r="C130">
        <v>43</v>
      </c>
      <c r="D130" t="s">
        <v>19</v>
      </c>
      <c r="E130" t="s">
        <v>20</v>
      </c>
      <c r="F130">
        <v>500.75</v>
      </c>
      <c r="G130">
        <v>10</v>
      </c>
      <c r="H130">
        <v>3.3</v>
      </c>
      <c r="I130" t="b">
        <v>1</v>
      </c>
      <c r="J130">
        <v>40</v>
      </c>
      <c r="K130" t="s">
        <v>21</v>
      </c>
    </row>
    <row r="131" spans="1:11" x14ac:dyDescent="0.35">
      <c r="A131">
        <v>230</v>
      </c>
      <c r="B131" t="s">
        <v>15</v>
      </c>
      <c r="C131">
        <v>30</v>
      </c>
      <c r="D131" t="s">
        <v>22</v>
      </c>
      <c r="E131" t="s">
        <v>13</v>
      </c>
      <c r="F131">
        <v>1460.5</v>
      </c>
      <c r="G131">
        <v>20</v>
      </c>
      <c r="H131">
        <v>4.8</v>
      </c>
      <c r="I131" t="b">
        <v>0</v>
      </c>
      <c r="J131">
        <v>12</v>
      </c>
      <c r="K131" t="s">
        <v>14</v>
      </c>
    </row>
    <row r="132" spans="1:11" x14ac:dyDescent="0.35">
      <c r="A132">
        <v>231</v>
      </c>
      <c r="B132" t="s">
        <v>15</v>
      </c>
      <c r="C132">
        <v>27</v>
      </c>
      <c r="D132" t="s">
        <v>23</v>
      </c>
      <c r="E132" t="s">
        <v>17</v>
      </c>
      <c r="F132">
        <v>700.4</v>
      </c>
      <c r="G132">
        <v>13</v>
      </c>
      <c r="H132">
        <v>4</v>
      </c>
      <c r="I132" t="b">
        <v>1</v>
      </c>
      <c r="J132">
        <v>53</v>
      </c>
      <c r="K132" t="s">
        <v>21</v>
      </c>
    </row>
    <row r="133" spans="1:11" x14ac:dyDescent="0.35">
      <c r="A133">
        <v>232</v>
      </c>
      <c r="B133" t="s">
        <v>11</v>
      </c>
      <c r="C133">
        <v>37</v>
      </c>
      <c r="D133" t="s">
        <v>24</v>
      </c>
      <c r="E133" t="s">
        <v>20</v>
      </c>
      <c r="F133">
        <v>420.8</v>
      </c>
      <c r="G133">
        <v>7</v>
      </c>
      <c r="H133">
        <v>3.1</v>
      </c>
      <c r="I133" t="b">
        <v>0</v>
      </c>
      <c r="J133">
        <v>21</v>
      </c>
      <c r="K133" t="s">
        <v>18</v>
      </c>
    </row>
    <row r="134" spans="1:11" x14ac:dyDescent="0.35">
      <c r="A134">
        <v>233</v>
      </c>
      <c r="B134" t="s">
        <v>11</v>
      </c>
      <c r="C134">
        <v>31</v>
      </c>
      <c r="D134" t="s">
        <v>12</v>
      </c>
      <c r="E134" t="s">
        <v>13</v>
      </c>
      <c r="F134">
        <v>1130.5999999999999</v>
      </c>
      <c r="G134">
        <v>15</v>
      </c>
      <c r="H134">
        <v>4.5</v>
      </c>
      <c r="I134" t="b">
        <v>1</v>
      </c>
      <c r="J134">
        <v>26</v>
      </c>
      <c r="K134" t="s">
        <v>14</v>
      </c>
    </row>
    <row r="135" spans="1:11" x14ac:dyDescent="0.35">
      <c r="A135">
        <v>234</v>
      </c>
      <c r="B135" t="s">
        <v>15</v>
      </c>
      <c r="C135">
        <v>35</v>
      </c>
      <c r="D135" t="s">
        <v>16</v>
      </c>
      <c r="E135" t="s">
        <v>17</v>
      </c>
      <c r="F135">
        <v>820.9</v>
      </c>
      <c r="G135">
        <v>12</v>
      </c>
      <c r="H135">
        <v>4.3</v>
      </c>
      <c r="I135" t="b">
        <v>0</v>
      </c>
      <c r="J135">
        <v>12</v>
      </c>
      <c r="K135" t="s">
        <v>18</v>
      </c>
    </row>
    <row r="136" spans="1:11" x14ac:dyDescent="0.35">
      <c r="A136">
        <v>235</v>
      </c>
      <c r="B136" t="s">
        <v>11</v>
      </c>
      <c r="C136">
        <v>41</v>
      </c>
      <c r="D136" t="s">
        <v>19</v>
      </c>
      <c r="E136" t="s">
        <v>20</v>
      </c>
      <c r="F136">
        <v>480.25</v>
      </c>
      <c r="G136">
        <v>9</v>
      </c>
      <c r="H136">
        <v>3.6</v>
      </c>
      <c r="I136" t="b">
        <v>1</v>
      </c>
      <c r="J136">
        <v>38</v>
      </c>
      <c r="K136" t="s">
        <v>21</v>
      </c>
    </row>
    <row r="137" spans="1:11" x14ac:dyDescent="0.35">
      <c r="A137">
        <v>236</v>
      </c>
      <c r="B137" t="s">
        <v>15</v>
      </c>
      <c r="C137">
        <v>28</v>
      </c>
      <c r="D137" t="s">
        <v>22</v>
      </c>
      <c r="E137" t="s">
        <v>13</v>
      </c>
      <c r="F137">
        <v>1490.1</v>
      </c>
      <c r="G137">
        <v>21</v>
      </c>
      <c r="H137">
        <v>4.9000000000000004</v>
      </c>
      <c r="I137" t="b">
        <v>0</v>
      </c>
      <c r="J137">
        <v>9</v>
      </c>
      <c r="K137" t="s">
        <v>14</v>
      </c>
    </row>
    <row r="138" spans="1:11" x14ac:dyDescent="0.35">
      <c r="A138">
        <v>237</v>
      </c>
      <c r="B138" t="s">
        <v>15</v>
      </c>
      <c r="C138">
        <v>32</v>
      </c>
      <c r="D138" t="s">
        <v>23</v>
      </c>
      <c r="E138" t="s">
        <v>17</v>
      </c>
      <c r="F138">
        <v>680.3</v>
      </c>
      <c r="G138">
        <v>10</v>
      </c>
      <c r="H138">
        <v>3.8</v>
      </c>
      <c r="I138" t="b">
        <v>1</v>
      </c>
      <c r="J138">
        <v>32</v>
      </c>
      <c r="K138" t="s">
        <v>21</v>
      </c>
    </row>
    <row r="139" spans="1:11" x14ac:dyDescent="0.35">
      <c r="A139">
        <v>238</v>
      </c>
      <c r="B139" t="s">
        <v>11</v>
      </c>
      <c r="C139">
        <v>36</v>
      </c>
      <c r="D139" t="s">
        <v>24</v>
      </c>
      <c r="E139" t="s">
        <v>20</v>
      </c>
      <c r="F139">
        <v>470.5</v>
      </c>
      <c r="G139">
        <v>8</v>
      </c>
      <c r="H139">
        <v>3</v>
      </c>
      <c r="I139" t="b">
        <v>0</v>
      </c>
      <c r="J139">
        <v>18</v>
      </c>
      <c r="K139" t="s">
        <v>18</v>
      </c>
    </row>
    <row r="140" spans="1:11" x14ac:dyDescent="0.35">
      <c r="A140">
        <v>239</v>
      </c>
      <c r="B140" t="s">
        <v>11</v>
      </c>
      <c r="C140">
        <v>30</v>
      </c>
      <c r="D140" t="s">
        <v>12</v>
      </c>
      <c r="E140" t="s">
        <v>13</v>
      </c>
      <c r="F140">
        <v>1180.8</v>
      </c>
      <c r="G140">
        <v>16</v>
      </c>
      <c r="H140">
        <v>4.7</v>
      </c>
      <c r="I140" t="b">
        <v>1</v>
      </c>
      <c r="J140">
        <v>19</v>
      </c>
      <c r="K140" t="s">
        <v>14</v>
      </c>
    </row>
    <row r="141" spans="1:11" x14ac:dyDescent="0.35">
      <c r="A141">
        <v>240</v>
      </c>
      <c r="B141" t="s">
        <v>15</v>
      </c>
      <c r="C141">
        <v>34</v>
      </c>
      <c r="D141" t="s">
        <v>16</v>
      </c>
      <c r="E141" t="s">
        <v>17</v>
      </c>
      <c r="F141">
        <v>790.2</v>
      </c>
      <c r="G141">
        <v>11</v>
      </c>
      <c r="H141">
        <v>4</v>
      </c>
      <c r="I141" t="b">
        <v>0</v>
      </c>
      <c r="J141">
        <v>15</v>
      </c>
      <c r="K141" t="s">
        <v>18</v>
      </c>
    </row>
    <row r="142" spans="1:11" x14ac:dyDescent="0.35">
      <c r="A142">
        <v>241</v>
      </c>
      <c r="B142" t="s">
        <v>11</v>
      </c>
      <c r="C142">
        <v>43</v>
      </c>
      <c r="D142" t="s">
        <v>19</v>
      </c>
      <c r="E142" t="s">
        <v>20</v>
      </c>
      <c r="F142">
        <v>505.75</v>
      </c>
      <c r="G142">
        <v>10</v>
      </c>
      <c r="H142">
        <v>3.3</v>
      </c>
      <c r="I142" t="b">
        <v>1</v>
      </c>
      <c r="J142">
        <v>39</v>
      </c>
      <c r="K142" t="s">
        <v>21</v>
      </c>
    </row>
    <row r="143" spans="1:11" x14ac:dyDescent="0.35">
      <c r="A143">
        <v>242</v>
      </c>
      <c r="B143" t="s">
        <v>15</v>
      </c>
      <c r="C143">
        <v>30</v>
      </c>
      <c r="D143" t="s">
        <v>22</v>
      </c>
      <c r="E143" t="s">
        <v>13</v>
      </c>
      <c r="F143">
        <v>1470.5</v>
      </c>
      <c r="G143">
        <v>20</v>
      </c>
      <c r="H143">
        <v>4.8</v>
      </c>
      <c r="I143" t="b">
        <v>0</v>
      </c>
      <c r="J143">
        <v>13</v>
      </c>
      <c r="K143" t="s">
        <v>14</v>
      </c>
    </row>
    <row r="144" spans="1:11" x14ac:dyDescent="0.35">
      <c r="A144">
        <v>243</v>
      </c>
      <c r="B144" t="s">
        <v>15</v>
      </c>
      <c r="C144">
        <v>27</v>
      </c>
      <c r="D144" t="s">
        <v>23</v>
      </c>
      <c r="E144" t="s">
        <v>17</v>
      </c>
      <c r="F144">
        <v>710.4</v>
      </c>
      <c r="G144">
        <v>13</v>
      </c>
      <c r="H144">
        <v>4.0999999999999996</v>
      </c>
      <c r="I144" t="b">
        <v>1</v>
      </c>
      <c r="J144">
        <v>54</v>
      </c>
      <c r="K144" t="s">
        <v>21</v>
      </c>
    </row>
    <row r="145" spans="1:11" x14ac:dyDescent="0.35">
      <c r="A145">
        <v>244</v>
      </c>
      <c r="B145" t="s">
        <v>11</v>
      </c>
      <c r="C145">
        <v>37</v>
      </c>
      <c r="D145" t="s">
        <v>24</v>
      </c>
      <c r="E145" t="s">
        <v>20</v>
      </c>
      <c r="F145">
        <v>430.8</v>
      </c>
      <c r="G145">
        <v>7</v>
      </c>
      <c r="H145">
        <v>3.4</v>
      </c>
      <c r="I145" t="b">
        <v>0</v>
      </c>
      <c r="J145">
        <v>23</v>
      </c>
    </row>
    <row r="146" spans="1:11" x14ac:dyDescent="0.35">
      <c r="A146">
        <v>245</v>
      </c>
      <c r="B146" t="s">
        <v>11</v>
      </c>
      <c r="C146">
        <v>31</v>
      </c>
      <c r="D146" t="s">
        <v>12</v>
      </c>
      <c r="E146" t="s">
        <v>13</v>
      </c>
      <c r="F146">
        <v>1130.5999999999999</v>
      </c>
      <c r="G146">
        <v>15</v>
      </c>
      <c r="H146">
        <v>4.5</v>
      </c>
      <c r="I146" t="b">
        <v>1</v>
      </c>
      <c r="J146">
        <v>26</v>
      </c>
      <c r="K146" t="s">
        <v>14</v>
      </c>
    </row>
    <row r="147" spans="1:11" x14ac:dyDescent="0.35">
      <c r="A147">
        <v>246</v>
      </c>
      <c r="B147" t="s">
        <v>15</v>
      </c>
      <c r="C147">
        <v>35</v>
      </c>
      <c r="D147" t="s">
        <v>16</v>
      </c>
      <c r="E147" t="s">
        <v>17</v>
      </c>
      <c r="F147">
        <v>820.9</v>
      </c>
      <c r="G147">
        <v>12</v>
      </c>
      <c r="H147">
        <v>4.3</v>
      </c>
      <c r="I147" t="b">
        <v>0</v>
      </c>
      <c r="J147">
        <v>12</v>
      </c>
      <c r="K147" t="s">
        <v>18</v>
      </c>
    </row>
    <row r="148" spans="1:11" x14ac:dyDescent="0.35">
      <c r="A148">
        <v>247</v>
      </c>
      <c r="B148" t="s">
        <v>11</v>
      </c>
      <c r="C148">
        <v>41</v>
      </c>
      <c r="D148" t="s">
        <v>19</v>
      </c>
      <c r="E148" t="s">
        <v>20</v>
      </c>
      <c r="F148">
        <v>480.25</v>
      </c>
      <c r="G148">
        <v>9</v>
      </c>
      <c r="H148">
        <v>3.6</v>
      </c>
      <c r="I148" t="b">
        <v>1</v>
      </c>
      <c r="J148">
        <v>38</v>
      </c>
      <c r="K148" t="s">
        <v>21</v>
      </c>
    </row>
    <row r="149" spans="1:11" x14ac:dyDescent="0.35">
      <c r="A149">
        <v>248</v>
      </c>
      <c r="B149" t="s">
        <v>15</v>
      </c>
      <c r="C149">
        <v>28</v>
      </c>
      <c r="D149" t="s">
        <v>22</v>
      </c>
      <c r="E149" t="s">
        <v>13</v>
      </c>
      <c r="F149">
        <v>1490.1</v>
      </c>
      <c r="G149">
        <v>21</v>
      </c>
      <c r="H149">
        <v>4.9000000000000004</v>
      </c>
      <c r="I149" t="b">
        <v>0</v>
      </c>
      <c r="J149">
        <v>9</v>
      </c>
      <c r="K149" t="s">
        <v>14</v>
      </c>
    </row>
    <row r="150" spans="1:11" x14ac:dyDescent="0.35">
      <c r="A150">
        <v>249</v>
      </c>
      <c r="B150" t="s">
        <v>15</v>
      </c>
      <c r="C150">
        <v>32</v>
      </c>
      <c r="D150" t="s">
        <v>23</v>
      </c>
      <c r="E150" t="s">
        <v>17</v>
      </c>
      <c r="F150">
        <v>680.3</v>
      </c>
      <c r="G150">
        <v>10</v>
      </c>
      <c r="H150">
        <v>3.8</v>
      </c>
      <c r="I150" t="b">
        <v>1</v>
      </c>
      <c r="J150">
        <v>32</v>
      </c>
      <c r="K150" t="s">
        <v>21</v>
      </c>
    </row>
    <row r="151" spans="1:11" x14ac:dyDescent="0.35">
      <c r="A151">
        <v>250</v>
      </c>
      <c r="B151" t="s">
        <v>11</v>
      </c>
      <c r="C151">
        <v>36</v>
      </c>
      <c r="D151" t="s">
        <v>24</v>
      </c>
      <c r="E151" t="s">
        <v>20</v>
      </c>
      <c r="F151">
        <v>470.5</v>
      </c>
      <c r="G151">
        <v>8</v>
      </c>
      <c r="H151">
        <v>3</v>
      </c>
      <c r="I151" t="b">
        <v>0</v>
      </c>
      <c r="J151">
        <v>18</v>
      </c>
      <c r="K151" t="s">
        <v>18</v>
      </c>
    </row>
    <row r="152" spans="1:11" x14ac:dyDescent="0.35">
      <c r="A152">
        <v>251</v>
      </c>
      <c r="B152" t="s">
        <v>11</v>
      </c>
      <c r="C152">
        <v>30</v>
      </c>
      <c r="D152" t="s">
        <v>12</v>
      </c>
      <c r="E152" t="s">
        <v>13</v>
      </c>
      <c r="F152">
        <v>1180.8</v>
      </c>
      <c r="G152">
        <v>16</v>
      </c>
      <c r="H152">
        <v>4.7</v>
      </c>
      <c r="I152" t="b">
        <v>1</v>
      </c>
      <c r="J152">
        <v>19</v>
      </c>
      <c r="K152" t="s">
        <v>14</v>
      </c>
    </row>
    <row r="153" spans="1:11" x14ac:dyDescent="0.35">
      <c r="A153">
        <v>252</v>
      </c>
      <c r="B153" t="s">
        <v>15</v>
      </c>
      <c r="C153">
        <v>34</v>
      </c>
      <c r="D153" t="s">
        <v>16</v>
      </c>
      <c r="E153" t="s">
        <v>17</v>
      </c>
      <c r="F153">
        <v>790.2</v>
      </c>
      <c r="G153">
        <v>11</v>
      </c>
      <c r="H153">
        <v>4</v>
      </c>
      <c r="I153" t="b">
        <v>0</v>
      </c>
      <c r="J153">
        <v>15</v>
      </c>
      <c r="K153" t="s">
        <v>18</v>
      </c>
    </row>
    <row r="154" spans="1:11" x14ac:dyDescent="0.35">
      <c r="A154">
        <v>253</v>
      </c>
      <c r="B154" t="s">
        <v>11</v>
      </c>
      <c r="C154">
        <v>43</v>
      </c>
      <c r="D154" t="s">
        <v>19</v>
      </c>
      <c r="E154" t="s">
        <v>20</v>
      </c>
      <c r="F154">
        <v>505.75</v>
      </c>
      <c r="G154">
        <v>10</v>
      </c>
      <c r="H154">
        <v>3.3</v>
      </c>
      <c r="I154" t="b">
        <v>1</v>
      </c>
      <c r="J154">
        <v>39</v>
      </c>
      <c r="K154" t="s">
        <v>21</v>
      </c>
    </row>
    <row r="155" spans="1:11" x14ac:dyDescent="0.35">
      <c r="A155">
        <v>254</v>
      </c>
      <c r="B155" t="s">
        <v>15</v>
      </c>
      <c r="C155">
        <v>30</v>
      </c>
      <c r="D155" t="s">
        <v>22</v>
      </c>
      <c r="E155" t="s">
        <v>13</v>
      </c>
      <c r="F155">
        <v>1470.5</v>
      </c>
      <c r="G155">
        <v>20</v>
      </c>
      <c r="H155">
        <v>4.8</v>
      </c>
      <c r="I155" t="b">
        <v>0</v>
      </c>
      <c r="J155">
        <v>13</v>
      </c>
      <c r="K155" t="s">
        <v>14</v>
      </c>
    </row>
    <row r="156" spans="1:11" x14ac:dyDescent="0.35">
      <c r="A156">
        <v>255</v>
      </c>
      <c r="B156" t="s">
        <v>15</v>
      </c>
      <c r="C156">
        <v>27</v>
      </c>
      <c r="D156" t="s">
        <v>23</v>
      </c>
      <c r="E156" t="s">
        <v>17</v>
      </c>
      <c r="F156">
        <v>710.4</v>
      </c>
      <c r="G156">
        <v>13</v>
      </c>
      <c r="H156">
        <v>4.0999999999999996</v>
      </c>
      <c r="I156" t="b">
        <v>1</v>
      </c>
      <c r="J156">
        <v>54</v>
      </c>
      <c r="K156" t="s">
        <v>21</v>
      </c>
    </row>
    <row r="157" spans="1:11" x14ac:dyDescent="0.35">
      <c r="A157">
        <v>256</v>
      </c>
      <c r="B157" t="s">
        <v>11</v>
      </c>
      <c r="C157">
        <v>37</v>
      </c>
      <c r="D157" t="s">
        <v>24</v>
      </c>
      <c r="E157" t="s">
        <v>20</v>
      </c>
      <c r="F157">
        <v>430.8</v>
      </c>
      <c r="G157">
        <v>7</v>
      </c>
      <c r="H157">
        <v>3.4</v>
      </c>
      <c r="I157" t="b">
        <v>0</v>
      </c>
      <c r="J157">
        <v>23</v>
      </c>
      <c r="K157" t="s">
        <v>18</v>
      </c>
    </row>
    <row r="158" spans="1:11" x14ac:dyDescent="0.35">
      <c r="A158">
        <v>257</v>
      </c>
      <c r="B158" t="s">
        <v>11</v>
      </c>
      <c r="C158">
        <v>31</v>
      </c>
      <c r="D158" t="s">
        <v>12</v>
      </c>
      <c r="E158" t="s">
        <v>13</v>
      </c>
      <c r="F158">
        <v>1140.5999999999999</v>
      </c>
      <c r="G158">
        <v>15</v>
      </c>
      <c r="H158">
        <v>4.5999999999999996</v>
      </c>
      <c r="I158" t="b">
        <v>1</v>
      </c>
      <c r="J158">
        <v>27</v>
      </c>
      <c r="K158" t="s">
        <v>14</v>
      </c>
    </row>
    <row r="159" spans="1:11" x14ac:dyDescent="0.35">
      <c r="A159">
        <v>258</v>
      </c>
      <c r="B159" t="s">
        <v>15</v>
      </c>
      <c r="C159">
        <v>35</v>
      </c>
      <c r="D159" t="s">
        <v>16</v>
      </c>
      <c r="E159" t="s">
        <v>17</v>
      </c>
      <c r="F159">
        <v>810.9</v>
      </c>
      <c r="G159">
        <v>12</v>
      </c>
      <c r="H159">
        <v>4.3</v>
      </c>
      <c r="I159" t="b">
        <v>0</v>
      </c>
      <c r="J159">
        <v>13</v>
      </c>
      <c r="K159" t="s">
        <v>18</v>
      </c>
    </row>
    <row r="160" spans="1:11" x14ac:dyDescent="0.35">
      <c r="A160">
        <v>259</v>
      </c>
      <c r="B160" t="s">
        <v>11</v>
      </c>
      <c r="C160">
        <v>41</v>
      </c>
      <c r="D160" t="s">
        <v>19</v>
      </c>
      <c r="E160" t="s">
        <v>20</v>
      </c>
      <c r="F160">
        <v>485.25</v>
      </c>
      <c r="G160">
        <v>9</v>
      </c>
      <c r="H160">
        <v>3.6</v>
      </c>
      <c r="I160" t="b">
        <v>1</v>
      </c>
      <c r="J160">
        <v>39</v>
      </c>
      <c r="K160" t="s">
        <v>21</v>
      </c>
    </row>
    <row r="161" spans="1:11" x14ac:dyDescent="0.35">
      <c r="A161">
        <v>260</v>
      </c>
      <c r="B161" t="s">
        <v>15</v>
      </c>
      <c r="C161">
        <v>28</v>
      </c>
      <c r="D161" t="s">
        <v>22</v>
      </c>
      <c r="E161" t="s">
        <v>13</v>
      </c>
      <c r="F161">
        <v>1500.1</v>
      </c>
      <c r="G161">
        <v>21</v>
      </c>
      <c r="H161">
        <v>4.9000000000000004</v>
      </c>
      <c r="I161" t="b">
        <v>0</v>
      </c>
      <c r="J161">
        <v>10</v>
      </c>
      <c r="K161" t="s">
        <v>14</v>
      </c>
    </row>
    <row r="162" spans="1:11" x14ac:dyDescent="0.35">
      <c r="A162">
        <v>261</v>
      </c>
      <c r="B162" t="s">
        <v>15</v>
      </c>
      <c r="C162">
        <v>32</v>
      </c>
      <c r="D162" t="s">
        <v>23</v>
      </c>
      <c r="E162" t="s">
        <v>17</v>
      </c>
      <c r="F162">
        <v>670.3</v>
      </c>
      <c r="G162">
        <v>10</v>
      </c>
      <c r="H162">
        <v>3.8</v>
      </c>
      <c r="I162" t="b">
        <v>1</v>
      </c>
      <c r="J162">
        <v>33</v>
      </c>
      <c r="K162" t="s">
        <v>21</v>
      </c>
    </row>
    <row r="163" spans="1:11" x14ac:dyDescent="0.35">
      <c r="A163">
        <v>262</v>
      </c>
      <c r="B163" t="s">
        <v>11</v>
      </c>
      <c r="C163">
        <v>36</v>
      </c>
      <c r="D163" t="s">
        <v>24</v>
      </c>
      <c r="E163" t="s">
        <v>20</v>
      </c>
      <c r="F163">
        <v>460.5</v>
      </c>
      <c r="G163">
        <v>8</v>
      </c>
      <c r="H163">
        <v>3.1</v>
      </c>
      <c r="I163" t="b">
        <v>0</v>
      </c>
      <c r="J163">
        <v>19</v>
      </c>
      <c r="K163" t="s">
        <v>18</v>
      </c>
    </row>
    <row r="164" spans="1:11" x14ac:dyDescent="0.35">
      <c r="A164">
        <v>263</v>
      </c>
      <c r="B164" t="s">
        <v>11</v>
      </c>
      <c r="C164">
        <v>30</v>
      </c>
      <c r="D164" t="s">
        <v>12</v>
      </c>
      <c r="E164" t="s">
        <v>13</v>
      </c>
      <c r="F164">
        <v>1190.8</v>
      </c>
      <c r="G164">
        <v>16</v>
      </c>
      <c r="H164">
        <v>4.5</v>
      </c>
      <c r="I164" t="b">
        <v>1</v>
      </c>
      <c r="J164">
        <v>20</v>
      </c>
      <c r="K164" t="s">
        <v>14</v>
      </c>
    </row>
    <row r="165" spans="1:11" x14ac:dyDescent="0.35">
      <c r="A165">
        <v>264</v>
      </c>
      <c r="B165" t="s">
        <v>15</v>
      </c>
      <c r="C165">
        <v>33</v>
      </c>
      <c r="D165" t="s">
        <v>16</v>
      </c>
      <c r="E165" t="s">
        <v>17</v>
      </c>
      <c r="F165">
        <v>830.75</v>
      </c>
      <c r="G165">
        <v>13</v>
      </c>
      <c r="H165">
        <v>4.2</v>
      </c>
      <c r="I165" t="b">
        <v>0</v>
      </c>
      <c r="J165">
        <v>14</v>
      </c>
      <c r="K165" t="s">
        <v>14</v>
      </c>
    </row>
    <row r="166" spans="1:11" x14ac:dyDescent="0.35">
      <c r="A166">
        <v>265</v>
      </c>
      <c r="B166" t="s">
        <v>11</v>
      </c>
      <c r="C166">
        <v>42</v>
      </c>
      <c r="D166" t="s">
        <v>19</v>
      </c>
      <c r="E166" t="s">
        <v>20</v>
      </c>
      <c r="F166">
        <v>520.4</v>
      </c>
      <c r="G166">
        <v>9</v>
      </c>
      <c r="H166">
        <v>3.5</v>
      </c>
      <c r="I166" t="b">
        <v>1</v>
      </c>
      <c r="J166">
        <v>37</v>
      </c>
      <c r="K166" t="s">
        <v>21</v>
      </c>
    </row>
    <row r="167" spans="1:11" x14ac:dyDescent="0.35">
      <c r="A167">
        <v>266</v>
      </c>
      <c r="B167" t="s">
        <v>15</v>
      </c>
      <c r="C167">
        <v>29</v>
      </c>
      <c r="D167" t="s">
        <v>22</v>
      </c>
      <c r="E167" t="s">
        <v>13</v>
      </c>
      <c r="F167">
        <v>1370.2</v>
      </c>
      <c r="G167">
        <v>18</v>
      </c>
      <c r="H167">
        <v>4.7</v>
      </c>
      <c r="I167" t="b">
        <v>0</v>
      </c>
      <c r="J167">
        <v>10</v>
      </c>
      <c r="K167" t="s">
        <v>14</v>
      </c>
    </row>
    <row r="168" spans="1:11" x14ac:dyDescent="0.35">
      <c r="A168">
        <v>267</v>
      </c>
      <c r="B168" t="s">
        <v>15</v>
      </c>
      <c r="C168">
        <v>26</v>
      </c>
      <c r="D168" t="s">
        <v>23</v>
      </c>
      <c r="E168" t="s">
        <v>17</v>
      </c>
      <c r="F168">
        <v>690.6</v>
      </c>
      <c r="G168">
        <v>12</v>
      </c>
      <c r="H168">
        <v>3.9</v>
      </c>
      <c r="I168" t="b">
        <v>1</v>
      </c>
      <c r="J168">
        <v>47</v>
      </c>
      <c r="K168" t="s">
        <v>21</v>
      </c>
    </row>
    <row r="169" spans="1:11" x14ac:dyDescent="0.35">
      <c r="A169">
        <v>268</v>
      </c>
      <c r="B169" t="s">
        <v>11</v>
      </c>
      <c r="C169">
        <v>38</v>
      </c>
      <c r="D169" t="s">
        <v>24</v>
      </c>
      <c r="E169" t="s">
        <v>20</v>
      </c>
      <c r="F169">
        <v>440.9</v>
      </c>
      <c r="G169">
        <v>8</v>
      </c>
      <c r="H169">
        <v>3.2</v>
      </c>
      <c r="I169" t="b">
        <v>0</v>
      </c>
      <c r="J169">
        <v>24</v>
      </c>
      <c r="K169" t="s">
        <v>18</v>
      </c>
    </row>
    <row r="170" spans="1:11" x14ac:dyDescent="0.35">
      <c r="A170">
        <v>269</v>
      </c>
      <c r="B170" t="s">
        <v>11</v>
      </c>
      <c r="C170">
        <v>32</v>
      </c>
      <c r="D170" t="s">
        <v>12</v>
      </c>
      <c r="E170" t="s">
        <v>13</v>
      </c>
      <c r="F170">
        <v>1160.3</v>
      </c>
      <c r="G170">
        <v>14</v>
      </c>
      <c r="H170">
        <v>4.4000000000000004</v>
      </c>
      <c r="I170" t="b">
        <v>1</v>
      </c>
      <c r="J170">
        <v>22</v>
      </c>
      <c r="K170" t="s">
        <v>14</v>
      </c>
    </row>
    <row r="171" spans="1:11" x14ac:dyDescent="0.35">
      <c r="A171">
        <v>270</v>
      </c>
      <c r="B171" t="s">
        <v>15</v>
      </c>
      <c r="C171">
        <v>34</v>
      </c>
      <c r="D171" t="s">
        <v>16</v>
      </c>
      <c r="E171" t="s">
        <v>17</v>
      </c>
      <c r="F171">
        <v>800.2</v>
      </c>
      <c r="G171">
        <v>11</v>
      </c>
      <c r="H171">
        <v>4.0999999999999996</v>
      </c>
      <c r="I171" t="b">
        <v>0</v>
      </c>
      <c r="J171">
        <v>17</v>
      </c>
      <c r="K171" t="s">
        <v>18</v>
      </c>
    </row>
    <row r="172" spans="1:11" x14ac:dyDescent="0.35">
      <c r="A172">
        <v>271</v>
      </c>
      <c r="B172" t="s">
        <v>11</v>
      </c>
      <c r="C172">
        <v>43</v>
      </c>
      <c r="D172" t="s">
        <v>19</v>
      </c>
      <c r="E172" t="s">
        <v>20</v>
      </c>
      <c r="F172">
        <v>500.75</v>
      </c>
      <c r="G172">
        <v>10</v>
      </c>
      <c r="H172">
        <v>3.3</v>
      </c>
      <c r="I172" t="b">
        <v>1</v>
      </c>
      <c r="J172">
        <v>40</v>
      </c>
      <c r="K172" t="s">
        <v>21</v>
      </c>
    </row>
    <row r="173" spans="1:11" x14ac:dyDescent="0.35">
      <c r="A173">
        <v>272</v>
      </c>
      <c r="B173" t="s">
        <v>15</v>
      </c>
      <c r="C173">
        <v>30</v>
      </c>
      <c r="D173" t="s">
        <v>22</v>
      </c>
      <c r="E173" t="s">
        <v>13</v>
      </c>
      <c r="F173">
        <v>1460.5</v>
      </c>
      <c r="G173">
        <v>20</v>
      </c>
      <c r="H173">
        <v>4.8</v>
      </c>
      <c r="I173" t="b">
        <v>0</v>
      </c>
      <c r="J173">
        <v>12</v>
      </c>
      <c r="K173" t="s">
        <v>14</v>
      </c>
    </row>
    <row r="174" spans="1:11" x14ac:dyDescent="0.35">
      <c r="A174">
        <v>273</v>
      </c>
      <c r="B174" t="s">
        <v>15</v>
      </c>
      <c r="C174">
        <v>27</v>
      </c>
      <c r="D174" t="s">
        <v>23</v>
      </c>
      <c r="E174" t="s">
        <v>17</v>
      </c>
      <c r="F174">
        <v>700.4</v>
      </c>
      <c r="G174">
        <v>13</v>
      </c>
      <c r="H174">
        <v>4</v>
      </c>
      <c r="I174" t="b">
        <v>1</v>
      </c>
      <c r="J174">
        <v>53</v>
      </c>
      <c r="K174" t="s">
        <v>21</v>
      </c>
    </row>
    <row r="175" spans="1:11" x14ac:dyDescent="0.35">
      <c r="A175">
        <v>274</v>
      </c>
      <c r="B175" t="s">
        <v>11</v>
      </c>
      <c r="C175">
        <v>37</v>
      </c>
      <c r="D175" t="s">
        <v>24</v>
      </c>
      <c r="E175" t="s">
        <v>20</v>
      </c>
      <c r="F175">
        <v>430.8</v>
      </c>
      <c r="G175">
        <v>7</v>
      </c>
      <c r="H175">
        <v>3.4</v>
      </c>
      <c r="I175" t="b">
        <v>0</v>
      </c>
      <c r="J175">
        <v>23</v>
      </c>
      <c r="K175" t="s">
        <v>18</v>
      </c>
    </row>
    <row r="176" spans="1:11" x14ac:dyDescent="0.35">
      <c r="A176">
        <v>275</v>
      </c>
      <c r="B176" t="s">
        <v>11</v>
      </c>
      <c r="C176">
        <v>31</v>
      </c>
      <c r="D176" t="s">
        <v>12</v>
      </c>
      <c r="E176" t="s">
        <v>13</v>
      </c>
      <c r="F176">
        <v>1140.5999999999999</v>
      </c>
      <c r="G176">
        <v>15</v>
      </c>
      <c r="H176">
        <v>4.5</v>
      </c>
      <c r="I176" t="b">
        <v>1</v>
      </c>
      <c r="J176">
        <v>27</v>
      </c>
      <c r="K176" t="s">
        <v>14</v>
      </c>
    </row>
    <row r="177" spans="1:11" x14ac:dyDescent="0.35">
      <c r="A177">
        <v>276</v>
      </c>
      <c r="B177" t="s">
        <v>15</v>
      </c>
      <c r="C177">
        <v>35</v>
      </c>
      <c r="D177" t="s">
        <v>16</v>
      </c>
      <c r="E177" t="s">
        <v>17</v>
      </c>
      <c r="F177">
        <v>820.9</v>
      </c>
      <c r="G177">
        <v>12</v>
      </c>
      <c r="H177">
        <v>4.3</v>
      </c>
      <c r="I177" t="b">
        <v>0</v>
      </c>
      <c r="J177">
        <v>12</v>
      </c>
      <c r="K177" t="s">
        <v>18</v>
      </c>
    </row>
    <row r="178" spans="1:11" x14ac:dyDescent="0.35">
      <c r="A178">
        <v>277</v>
      </c>
      <c r="B178" t="s">
        <v>11</v>
      </c>
      <c r="C178">
        <v>41</v>
      </c>
      <c r="D178" t="s">
        <v>19</v>
      </c>
      <c r="E178" t="s">
        <v>20</v>
      </c>
      <c r="F178">
        <v>480.25</v>
      </c>
      <c r="G178">
        <v>9</v>
      </c>
      <c r="H178">
        <v>3.6</v>
      </c>
      <c r="I178" t="b">
        <v>1</v>
      </c>
      <c r="J178">
        <v>38</v>
      </c>
      <c r="K178" t="s">
        <v>21</v>
      </c>
    </row>
    <row r="179" spans="1:11" x14ac:dyDescent="0.35">
      <c r="A179">
        <v>278</v>
      </c>
      <c r="B179" t="s">
        <v>15</v>
      </c>
      <c r="C179">
        <v>28</v>
      </c>
      <c r="D179" t="s">
        <v>22</v>
      </c>
      <c r="E179" t="s">
        <v>13</v>
      </c>
      <c r="F179">
        <v>1490.1</v>
      </c>
      <c r="G179">
        <v>21</v>
      </c>
      <c r="H179">
        <v>4.9000000000000004</v>
      </c>
      <c r="I179" t="b">
        <v>0</v>
      </c>
      <c r="J179">
        <v>9</v>
      </c>
      <c r="K179" t="s">
        <v>14</v>
      </c>
    </row>
    <row r="180" spans="1:11" x14ac:dyDescent="0.35">
      <c r="A180">
        <v>279</v>
      </c>
      <c r="B180" t="s">
        <v>15</v>
      </c>
      <c r="C180">
        <v>32</v>
      </c>
      <c r="D180" t="s">
        <v>23</v>
      </c>
      <c r="E180" t="s">
        <v>17</v>
      </c>
      <c r="F180">
        <v>680.3</v>
      </c>
      <c r="G180">
        <v>10</v>
      </c>
      <c r="H180">
        <v>3.8</v>
      </c>
      <c r="I180" t="b">
        <v>1</v>
      </c>
      <c r="J180">
        <v>32</v>
      </c>
      <c r="K180" t="s">
        <v>21</v>
      </c>
    </row>
    <row r="181" spans="1:11" x14ac:dyDescent="0.35">
      <c r="A181">
        <v>280</v>
      </c>
      <c r="B181" t="s">
        <v>11</v>
      </c>
      <c r="C181">
        <v>36</v>
      </c>
      <c r="D181" t="s">
        <v>24</v>
      </c>
      <c r="E181" t="s">
        <v>20</v>
      </c>
      <c r="F181">
        <v>470.5</v>
      </c>
      <c r="G181">
        <v>8</v>
      </c>
      <c r="H181">
        <v>3</v>
      </c>
      <c r="I181" t="b">
        <v>0</v>
      </c>
      <c r="J181">
        <v>18</v>
      </c>
      <c r="K181" t="s">
        <v>18</v>
      </c>
    </row>
    <row r="182" spans="1:11" x14ac:dyDescent="0.35">
      <c r="A182">
        <v>281</v>
      </c>
      <c r="B182" t="s">
        <v>11</v>
      </c>
      <c r="C182">
        <v>30</v>
      </c>
      <c r="D182" t="s">
        <v>12</v>
      </c>
      <c r="E182" t="s">
        <v>13</v>
      </c>
      <c r="F182">
        <v>1180.8</v>
      </c>
      <c r="G182">
        <v>16</v>
      </c>
      <c r="H182">
        <v>4.7</v>
      </c>
      <c r="I182" t="b">
        <v>1</v>
      </c>
      <c r="J182">
        <v>19</v>
      </c>
      <c r="K182" t="s">
        <v>14</v>
      </c>
    </row>
    <row r="183" spans="1:11" x14ac:dyDescent="0.35">
      <c r="A183">
        <v>282</v>
      </c>
      <c r="B183" t="s">
        <v>15</v>
      </c>
      <c r="C183">
        <v>34</v>
      </c>
      <c r="D183" t="s">
        <v>16</v>
      </c>
      <c r="E183" t="s">
        <v>17</v>
      </c>
      <c r="F183">
        <v>790.2</v>
      </c>
      <c r="G183">
        <v>11</v>
      </c>
      <c r="H183">
        <v>4</v>
      </c>
      <c r="I183" t="b">
        <v>0</v>
      </c>
      <c r="J183">
        <v>15</v>
      </c>
      <c r="K183" t="s">
        <v>18</v>
      </c>
    </row>
    <row r="184" spans="1:11" x14ac:dyDescent="0.35">
      <c r="A184">
        <v>283</v>
      </c>
      <c r="B184" t="s">
        <v>11</v>
      </c>
      <c r="C184">
        <v>43</v>
      </c>
      <c r="D184" t="s">
        <v>19</v>
      </c>
      <c r="E184" t="s">
        <v>20</v>
      </c>
      <c r="F184">
        <v>505.75</v>
      </c>
      <c r="G184">
        <v>10</v>
      </c>
      <c r="H184">
        <v>3.3</v>
      </c>
      <c r="I184" t="b">
        <v>1</v>
      </c>
      <c r="J184">
        <v>39</v>
      </c>
      <c r="K184" t="s">
        <v>21</v>
      </c>
    </row>
    <row r="185" spans="1:11" x14ac:dyDescent="0.35">
      <c r="A185">
        <v>284</v>
      </c>
      <c r="B185" t="s">
        <v>15</v>
      </c>
      <c r="C185">
        <v>30</v>
      </c>
      <c r="D185" t="s">
        <v>22</v>
      </c>
      <c r="E185" t="s">
        <v>13</v>
      </c>
      <c r="F185">
        <v>1470.5</v>
      </c>
      <c r="G185">
        <v>20</v>
      </c>
      <c r="H185">
        <v>4.8</v>
      </c>
      <c r="I185" t="b">
        <v>0</v>
      </c>
      <c r="J185">
        <v>13</v>
      </c>
      <c r="K185" t="s">
        <v>14</v>
      </c>
    </row>
    <row r="186" spans="1:11" x14ac:dyDescent="0.35">
      <c r="A186">
        <v>285</v>
      </c>
      <c r="B186" t="s">
        <v>15</v>
      </c>
      <c r="C186">
        <v>27</v>
      </c>
      <c r="D186" t="s">
        <v>23</v>
      </c>
      <c r="E186" t="s">
        <v>17</v>
      </c>
      <c r="F186">
        <v>710.4</v>
      </c>
      <c r="G186">
        <v>13</v>
      </c>
      <c r="H186">
        <v>4.0999999999999996</v>
      </c>
      <c r="I186" t="b">
        <v>1</v>
      </c>
      <c r="J186">
        <v>54</v>
      </c>
      <c r="K186" t="s">
        <v>21</v>
      </c>
    </row>
    <row r="187" spans="1:11" x14ac:dyDescent="0.35">
      <c r="A187">
        <v>286</v>
      </c>
      <c r="B187" t="s">
        <v>11</v>
      </c>
      <c r="C187">
        <v>37</v>
      </c>
      <c r="D187" t="s">
        <v>24</v>
      </c>
      <c r="E187" t="s">
        <v>20</v>
      </c>
      <c r="F187">
        <v>430.8</v>
      </c>
      <c r="G187">
        <v>7</v>
      </c>
      <c r="H187">
        <v>3.4</v>
      </c>
      <c r="I187" t="b">
        <v>0</v>
      </c>
      <c r="J187">
        <v>23</v>
      </c>
      <c r="K187" t="s">
        <v>18</v>
      </c>
    </row>
    <row r="188" spans="1:11" x14ac:dyDescent="0.35">
      <c r="A188">
        <v>287</v>
      </c>
      <c r="B188" t="s">
        <v>11</v>
      </c>
      <c r="C188">
        <v>31</v>
      </c>
      <c r="D188" t="s">
        <v>12</v>
      </c>
      <c r="E188" t="s">
        <v>13</v>
      </c>
      <c r="F188">
        <v>1130.5999999999999</v>
      </c>
      <c r="G188">
        <v>15</v>
      </c>
      <c r="H188">
        <v>4.5</v>
      </c>
      <c r="I188" t="b">
        <v>1</v>
      </c>
      <c r="J188">
        <v>26</v>
      </c>
      <c r="K188" t="s">
        <v>14</v>
      </c>
    </row>
    <row r="189" spans="1:11" x14ac:dyDescent="0.35">
      <c r="A189">
        <v>288</v>
      </c>
      <c r="B189" t="s">
        <v>15</v>
      </c>
      <c r="C189">
        <v>35</v>
      </c>
      <c r="D189" t="s">
        <v>16</v>
      </c>
      <c r="E189" t="s">
        <v>17</v>
      </c>
      <c r="F189">
        <v>820.9</v>
      </c>
      <c r="G189">
        <v>12</v>
      </c>
      <c r="H189">
        <v>4.3</v>
      </c>
      <c r="I189" t="b">
        <v>0</v>
      </c>
      <c r="J189">
        <v>13</v>
      </c>
      <c r="K189" t="s">
        <v>18</v>
      </c>
    </row>
    <row r="190" spans="1:11" x14ac:dyDescent="0.35">
      <c r="A190">
        <v>289</v>
      </c>
      <c r="B190" t="s">
        <v>11</v>
      </c>
      <c r="C190">
        <v>41</v>
      </c>
      <c r="D190" t="s">
        <v>19</v>
      </c>
      <c r="E190" t="s">
        <v>20</v>
      </c>
      <c r="F190">
        <v>485.25</v>
      </c>
      <c r="G190">
        <v>9</v>
      </c>
      <c r="H190">
        <v>3.6</v>
      </c>
      <c r="I190" t="b">
        <v>1</v>
      </c>
      <c r="J190">
        <v>39</v>
      </c>
      <c r="K190" t="s">
        <v>21</v>
      </c>
    </row>
    <row r="191" spans="1:11" x14ac:dyDescent="0.35">
      <c r="A191">
        <v>290</v>
      </c>
      <c r="B191" t="s">
        <v>15</v>
      </c>
      <c r="C191">
        <v>28</v>
      </c>
      <c r="D191" t="s">
        <v>22</v>
      </c>
      <c r="E191" t="s">
        <v>13</v>
      </c>
      <c r="F191">
        <v>1500.1</v>
      </c>
      <c r="G191">
        <v>21</v>
      </c>
      <c r="H191">
        <v>4.9000000000000004</v>
      </c>
      <c r="I191" t="b">
        <v>0</v>
      </c>
      <c r="J191">
        <v>10</v>
      </c>
      <c r="K191" t="s">
        <v>14</v>
      </c>
    </row>
    <row r="192" spans="1:11" x14ac:dyDescent="0.35">
      <c r="A192">
        <v>291</v>
      </c>
      <c r="B192" t="s">
        <v>15</v>
      </c>
      <c r="C192">
        <v>32</v>
      </c>
      <c r="D192" t="s">
        <v>23</v>
      </c>
      <c r="E192" t="s">
        <v>17</v>
      </c>
      <c r="F192">
        <v>670.3</v>
      </c>
      <c r="G192">
        <v>10</v>
      </c>
      <c r="H192">
        <v>3.8</v>
      </c>
      <c r="I192" t="b">
        <v>1</v>
      </c>
      <c r="J192">
        <v>33</v>
      </c>
      <c r="K192" t="s">
        <v>21</v>
      </c>
    </row>
    <row r="193" spans="1:11" x14ac:dyDescent="0.35">
      <c r="A193">
        <v>292</v>
      </c>
      <c r="B193" t="s">
        <v>11</v>
      </c>
      <c r="C193">
        <v>36</v>
      </c>
      <c r="D193" t="s">
        <v>24</v>
      </c>
      <c r="E193" t="s">
        <v>20</v>
      </c>
      <c r="F193">
        <v>460.5</v>
      </c>
      <c r="G193">
        <v>8</v>
      </c>
      <c r="H193">
        <v>3.1</v>
      </c>
      <c r="I193" t="b">
        <v>0</v>
      </c>
      <c r="J193">
        <v>19</v>
      </c>
      <c r="K193" t="s">
        <v>18</v>
      </c>
    </row>
    <row r="194" spans="1:11" x14ac:dyDescent="0.35">
      <c r="A194">
        <v>293</v>
      </c>
      <c r="B194" t="s">
        <v>11</v>
      </c>
      <c r="C194">
        <v>30</v>
      </c>
      <c r="D194" t="s">
        <v>12</v>
      </c>
      <c r="E194" t="s">
        <v>13</v>
      </c>
      <c r="F194">
        <v>1190.8</v>
      </c>
      <c r="G194">
        <v>16</v>
      </c>
      <c r="H194">
        <v>4.5</v>
      </c>
      <c r="I194" t="b">
        <v>1</v>
      </c>
      <c r="J194">
        <v>20</v>
      </c>
      <c r="K194" t="s">
        <v>14</v>
      </c>
    </row>
    <row r="195" spans="1:11" x14ac:dyDescent="0.35">
      <c r="A195">
        <v>294</v>
      </c>
      <c r="B195" t="s">
        <v>15</v>
      </c>
      <c r="C195">
        <v>33</v>
      </c>
      <c r="D195" t="s">
        <v>16</v>
      </c>
      <c r="E195" t="s">
        <v>17</v>
      </c>
      <c r="F195">
        <v>830.75</v>
      </c>
      <c r="G195">
        <v>13</v>
      </c>
      <c r="H195">
        <v>4.2</v>
      </c>
      <c r="I195" t="b">
        <v>0</v>
      </c>
      <c r="J195">
        <v>14</v>
      </c>
      <c r="K195" t="s">
        <v>14</v>
      </c>
    </row>
    <row r="196" spans="1:11" x14ac:dyDescent="0.35">
      <c r="A196">
        <v>295</v>
      </c>
      <c r="B196" t="s">
        <v>11</v>
      </c>
      <c r="C196">
        <v>42</v>
      </c>
      <c r="D196" t="s">
        <v>19</v>
      </c>
      <c r="E196" t="s">
        <v>20</v>
      </c>
      <c r="F196">
        <v>520.4</v>
      </c>
      <c r="G196">
        <v>9</v>
      </c>
      <c r="H196">
        <v>3.5</v>
      </c>
      <c r="I196" t="b">
        <v>1</v>
      </c>
      <c r="J196">
        <v>37</v>
      </c>
      <c r="K196" t="s">
        <v>21</v>
      </c>
    </row>
    <row r="197" spans="1:11" x14ac:dyDescent="0.35">
      <c r="A197">
        <v>296</v>
      </c>
      <c r="B197" t="s">
        <v>15</v>
      </c>
      <c r="C197">
        <v>29</v>
      </c>
      <c r="D197" t="s">
        <v>22</v>
      </c>
      <c r="E197" t="s">
        <v>13</v>
      </c>
      <c r="F197">
        <v>1370.2</v>
      </c>
      <c r="G197">
        <v>18</v>
      </c>
      <c r="H197">
        <v>4.7</v>
      </c>
      <c r="I197" t="b">
        <v>0</v>
      </c>
      <c r="J197">
        <v>10</v>
      </c>
      <c r="K197" t="s">
        <v>14</v>
      </c>
    </row>
    <row r="198" spans="1:11" x14ac:dyDescent="0.35">
      <c r="A198">
        <v>297</v>
      </c>
      <c r="B198" t="s">
        <v>15</v>
      </c>
      <c r="C198">
        <v>26</v>
      </c>
      <c r="D198" t="s">
        <v>23</v>
      </c>
      <c r="E198" t="s">
        <v>17</v>
      </c>
      <c r="F198">
        <v>690.6</v>
      </c>
      <c r="G198">
        <v>12</v>
      </c>
      <c r="H198">
        <v>3.9</v>
      </c>
      <c r="I198" t="b">
        <v>1</v>
      </c>
      <c r="J198">
        <v>47</v>
      </c>
      <c r="K198" t="s">
        <v>21</v>
      </c>
    </row>
    <row r="199" spans="1:11" x14ac:dyDescent="0.35">
      <c r="A199">
        <v>298</v>
      </c>
      <c r="B199" t="s">
        <v>11</v>
      </c>
      <c r="C199">
        <v>38</v>
      </c>
      <c r="D199" t="s">
        <v>24</v>
      </c>
      <c r="E199" t="s">
        <v>20</v>
      </c>
      <c r="F199">
        <v>440.9</v>
      </c>
      <c r="G199">
        <v>8</v>
      </c>
      <c r="H199">
        <v>3.2</v>
      </c>
      <c r="I199" t="b">
        <v>0</v>
      </c>
      <c r="J199">
        <v>24</v>
      </c>
      <c r="K199" t="s">
        <v>18</v>
      </c>
    </row>
    <row r="200" spans="1:11" x14ac:dyDescent="0.35">
      <c r="A200">
        <v>299</v>
      </c>
      <c r="B200" t="s">
        <v>11</v>
      </c>
      <c r="C200">
        <v>32</v>
      </c>
      <c r="D200" t="s">
        <v>12</v>
      </c>
      <c r="E200" t="s">
        <v>13</v>
      </c>
      <c r="F200">
        <v>1160.3</v>
      </c>
      <c r="G200">
        <v>14</v>
      </c>
      <c r="H200">
        <v>4.4000000000000004</v>
      </c>
      <c r="I200" t="b">
        <v>1</v>
      </c>
      <c r="J200">
        <v>22</v>
      </c>
      <c r="K200" t="s">
        <v>14</v>
      </c>
    </row>
    <row r="201" spans="1:11" x14ac:dyDescent="0.35">
      <c r="A201">
        <v>300</v>
      </c>
      <c r="B201" t="s">
        <v>15</v>
      </c>
      <c r="C201">
        <v>34</v>
      </c>
      <c r="D201" t="s">
        <v>16</v>
      </c>
      <c r="E201" t="s">
        <v>17</v>
      </c>
      <c r="F201">
        <v>800.2</v>
      </c>
      <c r="G201">
        <v>11</v>
      </c>
      <c r="H201">
        <v>4.0999999999999996</v>
      </c>
      <c r="I201" t="b">
        <v>0</v>
      </c>
      <c r="J201">
        <v>17</v>
      </c>
      <c r="K201" t="s">
        <v>18</v>
      </c>
    </row>
    <row r="202" spans="1:11" x14ac:dyDescent="0.35">
      <c r="A202">
        <v>301</v>
      </c>
      <c r="B202" t="s">
        <v>15</v>
      </c>
      <c r="C202">
        <v>36</v>
      </c>
      <c r="D202" t="s">
        <v>22</v>
      </c>
      <c r="E202" t="s">
        <v>13</v>
      </c>
      <c r="F202">
        <v>1420.8</v>
      </c>
      <c r="G202">
        <v>19</v>
      </c>
      <c r="H202">
        <v>4.5999999999999996</v>
      </c>
      <c r="I202" t="b">
        <v>0</v>
      </c>
      <c r="J202">
        <v>11</v>
      </c>
      <c r="K202" t="s">
        <v>14</v>
      </c>
    </row>
    <row r="203" spans="1:11" x14ac:dyDescent="0.35">
      <c r="A203">
        <v>302</v>
      </c>
      <c r="B203" t="s">
        <v>11</v>
      </c>
      <c r="C203">
        <v>29</v>
      </c>
      <c r="D203" t="s">
        <v>23</v>
      </c>
      <c r="E203" t="s">
        <v>17</v>
      </c>
      <c r="F203">
        <v>730.4</v>
      </c>
      <c r="G203">
        <v>14</v>
      </c>
      <c r="H203">
        <v>4</v>
      </c>
      <c r="I203" t="b">
        <v>1</v>
      </c>
      <c r="J203">
        <v>50</v>
      </c>
      <c r="K203" t="s">
        <v>21</v>
      </c>
    </row>
    <row r="204" spans="1:11" x14ac:dyDescent="0.35">
      <c r="A204">
        <v>303</v>
      </c>
      <c r="B204" t="s">
        <v>11</v>
      </c>
      <c r="C204">
        <v>35</v>
      </c>
      <c r="D204" t="s">
        <v>24</v>
      </c>
      <c r="E204" t="s">
        <v>20</v>
      </c>
      <c r="F204">
        <v>450.6</v>
      </c>
      <c r="G204">
        <v>7</v>
      </c>
      <c r="H204">
        <v>3.3</v>
      </c>
      <c r="I204" t="b">
        <v>0</v>
      </c>
      <c r="J204">
        <v>21</v>
      </c>
      <c r="K204" t="s">
        <v>18</v>
      </c>
    </row>
    <row r="205" spans="1:11" x14ac:dyDescent="0.35">
      <c r="A205">
        <v>304</v>
      </c>
      <c r="B205" t="s">
        <v>15</v>
      </c>
      <c r="C205">
        <v>31</v>
      </c>
      <c r="D205" t="s">
        <v>12</v>
      </c>
      <c r="E205" t="s">
        <v>13</v>
      </c>
      <c r="F205">
        <v>1210.5999999999999</v>
      </c>
      <c r="G205">
        <v>17</v>
      </c>
      <c r="H205">
        <v>4.8</v>
      </c>
      <c r="I205" t="b">
        <v>1</v>
      </c>
      <c r="J205">
        <v>18</v>
      </c>
      <c r="K205" t="s">
        <v>14</v>
      </c>
    </row>
    <row r="206" spans="1:11" x14ac:dyDescent="0.35">
      <c r="A206">
        <v>305</v>
      </c>
      <c r="B206" t="s">
        <v>15</v>
      </c>
      <c r="C206">
        <v>27</v>
      </c>
      <c r="D206" t="s">
        <v>16</v>
      </c>
      <c r="E206" t="s">
        <v>17</v>
      </c>
      <c r="F206">
        <v>780.9</v>
      </c>
      <c r="G206">
        <v>11</v>
      </c>
      <c r="H206">
        <v>4.2</v>
      </c>
      <c r="I206" t="b">
        <v>0</v>
      </c>
      <c r="J206">
        <v>16</v>
      </c>
      <c r="K206" t="s">
        <v>18</v>
      </c>
    </row>
    <row r="207" spans="1:11" x14ac:dyDescent="0.35">
      <c r="A207">
        <v>306</v>
      </c>
      <c r="B207" t="s">
        <v>11</v>
      </c>
      <c r="C207">
        <v>42</v>
      </c>
      <c r="D207" t="s">
        <v>19</v>
      </c>
      <c r="E207" t="s">
        <v>20</v>
      </c>
      <c r="F207">
        <v>495.25</v>
      </c>
      <c r="G207">
        <v>10</v>
      </c>
      <c r="H207">
        <v>3.5</v>
      </c>
      <c r="I207" t="b">
        <v>1</v>
      </c>
      <c r="J207">
        <v>35</v>
      </c>
      <c r="K207" t="s">
        <v>21</v>
      </c>
    </row>
    <row r="208" spans="1:11" x14ac:dyDescent="0.35">
      <c r="A208">
        <v>307</v>
      </c>
      <c r="B208" t="s">
        <v>15</v>
      </c>
      <c r="C208">
        <v>29</v>
      </c>
      <c r="D208" t="s">
        <v>22</v>
      </c>
      <c r="E208" t="s">
        <v>13</v>
      </c>
      <c r="F208">
        <v>1390.2</v>
      </c>
      <c r="G208">
        <v>18</v>
      </c>
      <c r="H208">
        <v>4.7</v>
      </c>
      <c r="I208" t="b">
        <v>0</v>
      </c>
      <c r="J208">
        <v>9</v>
      </c>
      <c r="K208" t="s">
        <v>14</v>
      </c>
    </row>
    <row r="209" spans="1:11" x14ac:dyDescent="0.35">
      <c r="A209">
        <v>308</v>
      </c>
      <c r="B209" t="s">
        <v>15</v>
      </c>
      <c r="C209">
        <v>26</v>
      </c>
      <c r="D209" t="s">
        <v>23</v>
      </c>
      <c r="E209" t="s">
        <v>17</v>
      </c>
      <c r="F209">
        <v>670.6</v>
      </c>
      <c r="G209">
        <v>12</v>
      </c>
      <c r="H209">
        <v>3.9</v>
      </c>
      <c r="I209" t="b">
        <v>1</v>
      </c>
      <c r="J209">
        <v>46</v>
      </c>
      <c r="K209" t="s">
        <v>21</v>
      </c>
    </row>
    <row r="210" spans="1:11" x14ac:dyDescent="0.35">
      <c r="A210">
        <v>309</v>
      </c>
      <c r="B210" t="s">
        <v>11</v>
      </c>
      <c r="C210">
        <v>38</v>
      </c>
      <c r="D210" t="s">
        <v>24</v>
      </c>
      <c r="E210" t="s">
        <v>20</v>
      </c>
      <c r="F210">
        <v>460.9</v>
      </c>
      <c r="G210">
        <v>8</v>
      </c>
      <c r="H210">
        <v>3.2</v>
      </c>
      <c r="I210" t="b">
        <v>0</v>
      </c>
      <c r="J210">
        <v>25</v>
      </c>
      <c r="K210" t="s">
        <v>18</v>
      </c>
    </row>
    <row r="211" spans="1:11" x14ac:dyDescent="0.35">
      <c r="A211">
        <v>310</v>
      </c>
      <c r="B211" t="s">
        <v>11</v>
      </c>
      <c r="C211">
        <v>32</v>
      </c>
      <c r="D211" t="s">
        <v>12</v>
      </c>
      <c r="E211" t="s">
        <v>13</v>
      </c>
      <c r="F211">
        <v>1170.3</v>
      </c>
      <c r="G211">
        <v>14</v>
      </c>
      <c r="H211">
        <v>4.5</v>
      </c>
      <c r="I211" t="b">
        <v>1</v>
      </c>
      <c r="J211">
        <v>21</v>
      </c>
      <c r="K211" t="s">
        <v>14</v>
      </c>
    </row>
    <row r="212" spans="1:11" x14ac:dyDescent="0.35">
      <c r="A212">
        <v>311</v>
      </c>
      <c r="B212" t="s">
        <v>15</v>
      </c>
      <c r="C212">
        <v>34</v>
      </c>
      <c r="D212" t="s">
        <v>16</v>
      </c>
      <c r="E212" t="s">
        <v>17</v>
      </c>
      <c r="F212">
        <v>810.2</v>
      </c>
      <c r="G212">
        <v>11</v>
      </c>
      <c r="H212">
        <v>4</v>
      </c>
      <c r="I212" t="b">
        <v>0</v>
      </c>
      <c r="J212">
        <v>14</v>
      </c>
      <c r="K212" t="s">
        <v>18</v>
      </c>
    </row>
    <row r="213" spans="1:11" x14ac:dyDescent="0.35">
      <c r="A213">
        <v>312</v>
      </c>
      <c r="B213" t="s">
        <v>11</v>
      </c>
      <c r="C213">
        <v>43</v>
      </c>
      <c r="D213" t="s">
        <v>19</v>
      </c>
      <c r="E213" t="s">
        <v>20</v>
      </c>
      <c r="F213">
        <v>515.75</v>
      </c>
      <c r="G213">
        <v>9</v>
      </c>
      <c r="H213">
        <v>3.3</v>
      </c>
      <c r="I213" t="b">
        <v>1</v>
      </c>
      <c r="J213">
        <v>38</v>
      </c>
      <c r="K213" t="s">
        <v>21</v>
      </c>
    </row>
    <row r="214" spans="1:11" x14ac:dyDescent="0.35">
      <c r="A214">
        <v>313</v>
      </c>
      <c r="B214" t="s">
        <v>15</v>
      </c>
      <c r="C214">
        <v>30</v>
      </c>
      <c r="D214" t="s">
        <v>22</v>
      </c>
      <c r="E214" t="s">
        <v>13</v>
      </c>
      <c r="F214">
        <v>1450.5</v>
      </c>
      <c r="G214">
        <v>20</v>
      </c>
      <c r="H214">
        <v>4.8</v>
      </c>
      <c r="I214" t="b">
        <v>0</v>
      </c>
      <c r="J214">
        <v>12</v>
      </c>
      <c r="K214" t="s">
        <v>14</v>
      </c>
    </row>
    <row r="215" spans="1:11" x14ac:dyDescent="0.35">
      <c r="A215">
        <v>314</v>
      </c>
      <c r="B215" t="s">
        <v>15</v>
      </c>
      <c r="C215">
        <v>27</v>
      </c>
      <c r="D215" t="s">
        <v>23</v>
      </c>
      <c r="E215" t="s">
        <v>17</v>
      </c>
      <c r="F215">
        <v>690.4</v>
      </c>
      <c r="G215">
        <v>13</v>
      </c>
      <c r="H215">
        <v>4.0999999999999996</v>
      </c>
      <c r="I215" t="b">
        <v>1</v>
      </c>
      <c r="J215">
        <v>52</v>
      </c>
      <c r="K215" t="s">
        <v>21</v>
      </c>
    </row>
    <row r="216" spans="1:11" x14ac:dyDescent="0.35">
      <c r="A216">
        <v>315</v>
      </c>
      <c r="B216" t="s">
        <v>11</v>
      </c>
      <c r="C216">
        <v>37</v>
      </c>
      <c r="D216" t="s">
        <v>24</v>
      </c>
      <c r="E216" t="s">
        <v>20</v>
      </c>
      <c r="F216">
        <v>420.8</v>
      </c>
      <c r="G216">
        <v>7</v>
      </c>
      <c r="H216">
        <v>3.4</v>
      </c>
      <c r="I216" t="b">
        <v>0</v>
      </c>
      <c r="J216">
        <v>24</v>
      </c>
      <c r="K216" t="s">
        <v>18</v>
      </c>
    </row>
    <row r="217" spans="1:11" x14ac:dyDescent="0.35">
      <c r="A217">
        <v>316</v>
      </c>
      <c r="B217" t="s">
        <v>11</v>
      </c>
      <c r="C217">
        <v>31</v>
      </c>
      <c r="D217" t="s">
        <v>12</v>
      </c>
      <c r="E217" t="s">
        <v>13</v>
      </c>
      <c r="F217">
        <v>1130.5999999999999</v>
      </c>
      <c r="G217">
        <v>15</v>
      </c>
      <c r="H217">
        <v>4.5</v>
      </c>
      <c r="I217" t="b">
        <v>1</v>
      </c>
      <c r="J217">
        <v>26</v>
      </c>
      <c r="K217" t="s">
        <v>14</v>
      </c>
    </row>
    <row r="218" spans="1:11" x14ac:dyDescent="0.35">
      <c r="A218">
        <v>317</v>
      </c>
      <c r="B218" t="s">
        <v>15</v>
      </c>
      <c r="C218">
        <v>35</v>
      </c>
      <c r="D218" t="s">
        <v>16</v>
      </c>
      <c r="E218" t="s">
        <v>17</v>
      </c>
      <c r="F218">
        <v>820.9</v>
      </c>
      <c r="G218">
        <v>12</v>
      </c>
      <c r="H218">
        <v>4.3</v>
      </c>
      <c r="I218" t="b">
        <v>0</v>
      </c>
      <c r="J218">
        <v>13</v>
      </c>
      <c r="K218" t="s">
        <v>18</v>
      </c>
    </row>
    <row r="219" spans="1:11" x14ac:dyDescent="0.35">
      <c r="A219">
        <v>318</v>
      </c>
      <c r="B219" t="s">
        <v>11</v>
      </c>
      <c r="C219">
        <v>41</v>
      </c>
      <c r="D219" t="s">
        <v>19</v>
      </c>
      <c r="E219" t="s">
        <v>20</v>
      </c>
      <c r="F219">
        <v>480.25</v>
      </c>
      <c r="G219">
        <v>9</v>
      </c>
      <c r="H219">
        <v>3.6</v>
      </c>
      <c r="I219" t="b">
        <v>1</v>
      </c>
      <c r="J219">
        <v>39</v>
      </c>
      <c r="K219" t="s">
        <v>21</v>
      </c>
    </row>
    <row r="220" spans="1:11" x14ac:dyDescent="0.35">
      <c r="A220">
        <v>319</v>
      </c>
      <c r="B220" t="s">
        <v>15</v>
      </c>
      <c r="C220">
        <v>28</v>
      </c>
      <c r="D220" t="s">
        <v>22</v>
      </c>
      <c r="E220" t="s">
        <v>13</v>
      </c>
      <c r="F220">
        <v>1490.1</v>
      </c>
      <c r="G220">
        <v>21</v>
      </c>
      <c r="H220">
        <v>4.9000000000000004</v>
      </c>
      <c r="I220" t="b">
        <v>0</v>
      </c>
      <c r="J220">
        <v>9</v>
      </c>
      <c r="K220" t="s">
        <v>14</v>
      </c>
    </row>
    <row r="221" spans="1:11" x14ac:dyDescent="0.35">
      <c r="A221">
        <v>320</v>
      </c>
      <c r="B221" t="s">
        <v>15</v>
      </c>
      <c r="C221">
        <v>32</v>
      </c>
      <c r="D221" t="s">
        <v>23</v>
      </c>
      <c r="E221" t="s">
        <v>17</v>
      </c>
      <c r="F221">
        <v>680.3</v>
      </c>
      <c r="G221">
        <v>10</v>
      </c>
      <c r="H221">
        <v>3.8</v>
      </c>
      <c r="I221" t="b">
        <v>1</v>
      </c>
      <c r="J221">
        <v>32</v>
      </c>
      <c r="K221" t="s">
        <v>21</v>
      </c>
    </row>
    <row r="222" spans="1:11" x14ac:dyDescent="0.35">
      <c r="A222">
        <v>321</v>
      </c>
      <c r="B222" t="s">
        <v>11</v>
      </c>
      <c r="C222">
        <v>36</v>
      </c>
      <c r="D222" t="s">
        <v>24</v>
      </c>
      <c r="E222" t="s">
        <v>20</v>
      </c>
      <c r="F222">
        <v>470.5</v>
      </c>
      <c r="G222">
        <v>8</v>
      </c>
      <c r="H222">
        <v>3</v>
      </c>
      <c r="I222" t="b">
        <v>0</v>
      </c>
      <c r="J222">
        <v>18</v>
      </c>
      <c r="K222" t="s">
        <v>18</v>
      </c>
    </row>
    <row r="223" spans="1:11" x14ac:dyDescent="0.35">
      <c r="A223">
        <v>322</v>
      </c>
      <c r="B223" t="s">
        <v>11</v>
      </c>
      <c r="C223">
        <v>30</v>
      </c>
      <c r="D223" t="s">
        <v>12</v>
      </c>
      <c r="E223" t="s">
        <v>13</v>
      </c>
      <c r="F223">
        <v>1180.8</v>
      </c>
      <c r="G223">
        <v>16</v>
      </c>
      <c r="H223">
        <v>4.7</v>
      </c>
      <c r="I223" t="b">
        <v>1</v>
      </c>
      <c r="J223">
        <v>19</v>
      </c>
      <c r="K223" t="s">
        <v>14</v>
      </c>
    </row>
    <row r="224" spans="1:11" x14ac:dyDescent="0.35">
      <c r="A224">
        <v>323</v>
      </c>
      <c r="B224" t="s">
        <v>15</v>
      </c>
      <c r="C224">
        <v>34</v>
      </c>
      <c r="D224" t="s">
        <v>16</v>
      </c>
      <c r="E224" t="s">
        <v>17</v>
      </c>
      <c r="F224">
        <v>790.2</v>
      </c>
      <c r="G224">
        <v>11</v>
      </c>
      <c r="H224">
        <v>4</v>
      </c>
      <c r="I224" t="b">
        <v>0</v>
      </c>
      <c r="J224">
        <v>15</v>
      </c>
      <c r="K224" t="s">
        <v>18</v>
      </c>
    </row>
    <row r="225" spans="1:11" x14ac:dyDescent="0.35">
      <c r="A225">
        <v>324</v>
      </c>
      <c r="B225" t="s">
        <v>11</v>
      </c>
      <c r="C225">
        <v>43</v>
      </c>
      <c r="D225" t="s">
        <v>19</v>
      </c>
      <c r="E225" t="s">
        <v>20</v>
      </c>
      <c r="F225">
        <v>505.75</v>
      </c>
      <c r="G225">
        <v>10</v>
      </c>
      <c r="H225">
        <v>3.3</v>
      </c>
      <c r="I225" t="b">
        <v>1</v>
      </c>
      <c r="J225">
        <v>39</v>
      </c>
      <c r="K225" t="s">
        <v>21</v>
      </c>
    </row>
    <row r="226" spans="1:11" x14ac:dyDescent="0.35">
      <c r="A226">
        <v>325</v>
      </c>
      <c r="B226" t="s">
        <v>15</v>
      </c>
      <c r="C226">
        <v>30</v>
      </c>
      <c r="D226" t="s">
        <v>22</v>
      </c>
      <c r="E226" t="s">
        <v>13</v>
      </c>
      <c r="F226">
        <v>1470.5</v>
      </c>
      <c r="G226">
        <v>20</v>
      </c>
      <c r="H226">
        <v>4.8</v>
      </c>
      <c r="I226" t="b">
        <v>0</v>
      </c>
      <c r="J226">
        <v>13</v>
      </c>
      <c r="K226" t="s">
        <v>14</v>
      </c>
    </row>
    <row r="227" spans="1:11" x14ac:dyDescent="0.35">
      <c r="A227">
        <v>326</v>
      </c>
      <c r="B227" t="s">
        <v>15</v>
      </c>
      <c r="C227">
        <v>27</v>
      </c>
      <c r="D227" t="s">
        <v>23</v>
      </c>
      <c r="E227" t="s">
        <v>17</v>
      </c>
      <c r="F227">
        <v>710.4</v>
      </c>
      <c r="G227">
        <v>13</v>
      </c>
      <c r="H227">
        <v>4.0999999999999996</v>
      </c>
      <c r="I227" t="b">
        <v>1</v>
      </c>
      <c r="J227">
        <v>54</v>
      </c>
      <c r="K227" t="s">
        <v>21</v>
      </c>
    </row>
    <row r="228" spans="1:11" x14ac:dyDescent="0.35">
      <c r="A228">
        <v>327</v>
      </c>
      <c r="B228" t="s">
        <v>11</v>
      </c>
      <c r="C228">
        <v>37</v>
      </c>
      <c r="D228" t="s">
        <v>24</v>
      </c>
      <c r="E228" t="s">
        <v>20</v>
      </c>
      <c r="F228">
        <v>430.8</v>
      </c>
      <c r="G228">
        <v>7</v>
      </c>
      <c r="H228">
        <v>3.4</v>
      </c>
      <c r="I228" t="b">
        <v>0</v>
      </c>
      <c r="J228">
        <v>23</v>
      </c>
      <c r="K228" t="s">
        <v>18</v>
      </c>
    </row>
    <row r="229" spans="1:11" x14ac:dyDescent="0.35">
      <c r="A229">
        <v>328</v>
      </c>
      <c r="B229" t="s">
        <v>11</v>
      </c>
      <c r="C229">
        <v>31</v>
      </c>
      <c r="D229" t="s">
        <v>12</v>
      </c>
      <c r="E229" t="s">
        <v>13</v>
      </c>
      <c r="F229">
        <v>1140.5999999999999</v>
      </c>
      <c r="G229">
        <v>15</v>
      </c>
      <c r="H229">
        <v>4.5</v>
      </c>
      <c r="I229" t="b">
        <v>1</v>
      </c>
      <c r="J229">
        <v>27</v>
      </c>
      <c r="K229" t="s">
        <v>14</v>
      </c>
    </row>
    <row r="230" spans="1:11" x14ac:dyDescent="0.35">
      <c r="A230">
        <v>329</v>
      </c>
      <c r="B230" t="s">
        <v>15</v>
      </c>
      <c r="C230">
        <v>35</v>
      </c>
      <c r="D230" t="s">
        <v>16</v>
      </c>
      <c r="E230" t="s">
        <v>17</v>
      </c>
      <c r="F230">
        <v>820.9</v>
      </c>
      <c r="G230">
        <v>12</v>
      </c>
      <c r="H230">
        <v>4.3</v>
      </c>
      <c r="I230" t="b">
        <v>0</v>
      </c>
      <c r="J230">
        <v>13</v>
      </c>
      <c r="K230" t="s">
        <v>18</v>
      </c>
    </row>
    <row r="231" spans="1:11" x14ac:dyDescent="0.35">
      <c r="A231">
        <v>330</v>
      </c>
      <c r="B231" t="s">
        <v>11</v>
      </c>
      <c r="C231">
        <v>41</v>
      </c>
      <c r="D231" t="s">
        <v>19</v>
      </c>
      <c r="E231" t="s">
        <v>20</v>
      </c>
      <c r="F231">
        <v>485.25</v>
      </c>
      <c r="G231">
        <v>9</v>
      </c>
      <c r="H231">
        <v>3.6</v>
      </c>
      <c r="I231" t="b">
        <v>1</v>
      </c>
      <c r="J231">
        <v>39</v>
      </c>
      <c r="K231" t="s">
        <v>21</v>
      </c>
    </row>
    <row r="232" spans="1:11" x14ac:dyDescent="0.35">
      <c r="A232">
        <v>331</v>
      </c>
      <c r="B232" t="s">
        <v>15</v>
      </c>
      <c r="C232">
        <v>28</v>
      </c>
      <c r="D232" t="s">
        <v>22</v>
      </c>
      <c r="E232" t="s">
        <v>13</v>
      </c>
      <c r="F232">
        <v>1500.1</v>
      </c>
      <c r="G232">
        <v>21</v>
      </c>
      <c r="H232">
        <v>4.9000000000000004</v>
      </c>
      <c r="I232" t="b">
        <v>0</v>
      </c>
      <c r="J232">
        <v>10</v>
      </c>
      <c r="K232" t="s">
        <v>14</v>
      </c>
    </row>
    <row r="233" spans="1:11" x14ac:dyDescent="0.35">
      <c r="A233">
        <v>332</v>
      </c>
      <c r="B233" t="s">
        <v>15</v>
      </c>
      <c r="C233">
        <v>32</v>
      </c>
      <c r="D233" t="s">
        <v>23</v>
      </c>
      <c r="E233" t="s">
        <v>17</v>
      </c>
      <c r="F233">
        <v>670.3</v>
      </c>
      <c r="G233">
        <v>10</v>
      </c>
      <c r="H233">
        <v>3.8</v>
      </c>
      <c r="I233" t="b">
        <v>1</v>
      </c>
      <c r="J233">
        <v>33</v>
      </c>
      <c r="K233" t="s">
        <v>21</v>
      </c>
    </row>
    <row r="234" spans="1:11" x14ac:dyDescent="0.35">
      <c r="A234">
        <v>333</v>
      </c>
      <c r="B234" t="s">
        <v>11</v>
      </c>
      <c r="C234">
        <v>36</v>
      </c>
      <c r="D234" t="s">
        <v>24</v>
      </c>
      <c r="E234" t="s">
        <v>20</v>
      </c>
      <c r="F234">
        <v>460.5</v>
      </c>
      <c r="G234">
        <v>8</v>
      </c>
      <c r="H234">
        <v>3.1</v>
      </c>
      <c r="I234" t="b">
        <v>0</v>
      </c>
      <c r="J234">
        <v>19</v>
      </c>
      <c r="K234" t="s">
        <v>18</v>
      </c>
    </row>
    <row r="235" spans="1:11" x14ac:dyDescent="0.35">
      <c r="A235">
        <v>334</v>
      </c>
      <c r="B235" t="s">
        <v>11</v>
      </c>
      <c r="C235">
        <v>30</v>
      </c>
      <c r="D235" t="s">
        <v>12</v>
      </c>
      <c r="E235" t="s">
        <v>13</v>
      </c>
      <c r="F235">
        <v>1190.8</v>
      </c>
      <c r="G235">
        <v>16</v>
      </c>
      <c r="H235">
        <v>4.5</v>
      </c>
      <c r="I235" t="b">
        <v>1</v>
      </c>
      <c r="J235">
        <v>20</v>
      </c>
      <c r="K235" t="s">
        <v>14</v>
      </c>
    </row>
    <row r="236" spans="1:11" x14ac:dyDescent="0.35">
      <c r="A236">
        <v>335</v>
      </c>
      <c r="B236" t="s">
        <v>15</v>
      </c>
      <c r="C236">
        <v>33</v>
      </c>
      <c r="D236" t="s">
        <v>16</v>
      </c>
      <c r="E236" t="s">
        <v>17</v>
      </c>
      <c r="F236">
        <v>830.75</v>
      </c>
      <c r="G236">
        <v>13</v>
      </c>
      <c r="H236">
        <v>4.2</v>
      </c>
      <c r="I236" t="b">
        <v>0</v>
      </c>
      <c r="J236">
        <v>14</v>
      </c>
      <c r="K236" t="s">
        <v>14</v>
      </c>
    </row>
    <row r="237" spans="1:11" x14ac:dyDescent="0.35">
      <c r="A237">
        <v>336</v>
      </c>
      <c r="B237" t="s">
        <v>11</v>
      </c>
      <c r="C237">
        <v>42</v>
      </c>
      <c r="D237" t="s">
        <v>19</v>
      </c>
      <c r="E237" t="s">
        <v>20</v>
      </c>
      <c r="F237">
        <v>520.4</v>
      </c>
      <c r="G237">
        <v>9</v>
      </c>
      <c r="H237">
        <v>3.5</v>
      </c>
      <c r="I237" t="b">
        <v>1</v>
      </c>
      <c r="J237">
        <v>37</v>
      </c>
      <c r="K237" t="s">
        <v>21</v>
      </c>
    </row>
    <row r="238" spans="1:11" x14ac:dyDescent="0.35">
      <c r="A238">
        <v>337</v>
      </c>
      <c r="B238" t="s">
        <v>15</v>
      </c>
      <c r="C238">
        <v>29</v>
      </c>
      <c r="D238" t="s">
        <v>22</v>
      </c>
      <c r="E238" t="s">
        <v>13</v>
      </c>
      <c r="F238">
        <v>1370.2</v>
      </c>
      <c r="G238">
        <v>18</v>
      </c>
      <c r="H238">
        <v>4.7</v>
      </c>
      <c r="I238" t="b">
        <v>0</v>
      </c>
      <c r="J238">
        <v>10</v>
      </c>
      <c r="K238" t="s">
        <v>14</v>
      </c>
    </row>
    <row r="239" spans="1:11" x14ac:dyDescent="0.35">
      <c r="A239">
        <v>338</v>
      </c>
      <c r="B239" t="s">
        <v>15</v>
      </c>
      <c r="C239">
        <v>26</v>
      </c>
      <c r="D239" t="s">
        <v>23</v>
      </c>
      <c r="E239" t="s">
        <v>17</v>
      </c>
      <c r="F239">
        <v>690.6</v>
      </c>
      <c r="G239">
        <v>12</v>
      </c>
      <c r="H239">
        <v>3.9</v>
      </c>
      <c r="I239" t="b">
        <v>1</v>
      </c>
      <c r="J239">
        <v>47</v>
      </c>
      <c r="K239" t="s">
        <v>21</v>
      </c>
    </row>
    <row r="240" spans="1:11" x14ac:dyDescent="0.35">
      <c r="A240">
        <v>339</v>
      </c>
      <c r="B240" t="s">
        <v>11</v>
      </c>
      <c r="C240">
        <v>38</v>
      </c>
      <c r="D240" t="s">
        <v>24</v>
      </c>
      <c r="E240" t="s">
        <v>20</v>
      </c>
      <c r="F240">
        <v>440.9</v>
      </c>
      <c r="G240">
        <v>8</v>
      </c>
      <c r="H240">
        <v>3.2</v>
      </c>
      <c r="I240" t="b">
        <v>0</v>
      </c>
      <c r="J240">
        <v>24</v>
      </c>
      <c r="K240" t="s">
        <v>18</v>
      </c>
    </row>
    <row r="241" spans="1:11" x14ac:dyDescent="0.35">
      <c r="A241">
        <v>340</v>
      </c>
      <c r="B241" t="s">
        <v>11</v>
      </c>
      <c r="C241">
        <v>32</v>
      </c>
      <c r="D241" t="s">
        <v>12</v>
      </c>
      <c r="E241" t="s">
        <v>13</v>
      </c>
      <c r="F241">
        <v>1160.3</v>
      </c>
      <c r="G241">
        <v>14</v>
      </c>
      <c r="H241">
        <v>4.4000000000000004</v>
      </c>
      <c r="I241" t="b">
        <v>1</v>
      </c>
      <c r="J241">
        <v>22</v>
      </c>
      <c r="K241" t="s">
        <v>14</v>
      </c>
    </row>
    <row r="242" spans="1:11" x14ac:dyDescent="0.35">
      <c r="A242">
        <v>341</v>
      </c>
      <c r="B242" t="s">
        <v>15</v>
      </c>
      <c r="C242">
        <v>34</v>
      </c>
      <c r="D242" t="s">
        <v>16</v>
      </c>
      <c r="E242" t="s">
        <v>17</v>
      </c>
      <c r="F242">
        <v>800.2</v>
      </c>
      <c r="G242">
        <v>11</v>
      </c>
      <c r="H242">
        <v>4.0999999999999996</v>
      </c>
      <c r="I242" t="b">
        <v>0</v>
      </c>
      <c r="J242">
        <v>17</v>
      </c>
      <c r="K242" t="s">
        <v>18</v>
      </c>
    </row>
    <row r="243" spans="1:11" x14ac:dyDescent="0.35">
      <c r="A243">
        <v>342</v>
      </c>
      <c r="B243" t="s">
        <v>11</v>
      </c>
      <c r="C243">
        <v>43</v>
      </c>
      <c r="D243" t="s">
        <v>19</v>
      </c>
      <c r="E243" t="s">
        <v>20</v>
      </c>
      <c r="F243">
        <v>525.75</v>
      </c>
      <c r="G243">
        <v>9</v>
      </c>
      <c r="H243">
        <v>3.3</v>
      </c>
      <c r="I243" t="b">
        <v>1</v>
      </c>
      <c r="J243">
        <v>40</v>
      </c>
      <c r="K243" t="s">
        <v>21</v>
      </c>
    </row>
    <row r="244" spans="1:11" x14ac:dyDescent="0.35">
      <c r="A244">
        <v>343</v>
      </c>
      <c r="B244" t="s">
        <v>15</v>
      </c>
      <c r="C244">
        <v>30</v>
      </c>
      <c r="D244" t="s">
        <v>22</v>
      </c>
      <c r="E244" t="s">
        <v>13</v>
      </c>
      <c r="F244">
        <v>1460.5</v>
      </c>
      <c r="G244">
        <v>20</v>
      </c>
      <c r="H244">
        <v>4.8</v>
      </c>
      <c r="I244" t="b">
        <v>0</v>
      </c>
      <c r="J244">
        <v>11</v>
      </c>
      <c r="K244" t="s">
        <v>14</v>
      </c>
    </row>
    <row r="245" spans="1:11" x14ac:dyDescent="0.35">
      <c r="A245">
        <v>344</v>
      </c>
      <c r="B245" t="s">
        <v>15</v>
      </c>
      <c r="C245">
        <v>27</v>
      </c>
      <c r="D245" t="s">
        <v>23</v>
      </c>
      <c r="E245" t="s">
        <v>17</v>
      </c>
      <c r="F245">
        <v>720.4</v>
      </c>
      <c r="G245">
        <v>13</v>
      </c>
      <c r="H245">
        <v>4</v>
      </c>
      <c r="I245" t="b">
        <v>1</v>
      </c>
      <c r="J245">
        <v>55</v>
      </c>
      <c r="K245" t="s">
        <v>21</v>
      </c>
    </row>
    <row r="246" spans="1:11" x14ac:dyDescent="0.35">
      <c r="A246">
        <v>345</v>
      </c>
      <c r="B246" t="s">
        <v>11</v>
      </c>
      <c r="C246">
        <v>37</v>
      </c>
      <c r="D246" t="s">
        <v>24</v>
      </c>
      <c r="E246" t="s">
        <v>20</v>
      </c>
      <c r="F246">
        <v>440.8</v>
      </c>
      <c r="G246">
        <v>7</v>
      </c>
      <c r="H246">
        <v>3.2</v>
      </c>
      <c r="I246" t="b">
        <v>0</v>
      </c>
      <c r="J246">
        <v>25</v>
      </c>
      <c r="K246" t="s">
        <v>18</v>
      </c>
    </row>
    <row r="247" spans="1:11" x14ac:dyDescent="0.35">
      <c r="A247">
        <v>346</v>
      </c>
      <c r="B247" t="s">
        <v>11</v>
      </c>
      <c r="C247">
        <v>31</v>
      </c>
      <c r="D247" t="s">
        <v>12</v>
      </c>
      <c r="E247" t="s">
        <v>13</v>
      </c>
      <c r="F247">
        <v>1150.5999999999999</v>
      </c>
      <c r="G247">
        <v>15</v>
      </c>
      <c r="H247">
        <v>4.5</v>
      </c>
      <c r="I247" t="b">
        <v>1</v>
      </c>
      <c r="J247">
        <v>28</v>
      </c>
      <c r="K247" t="s">
        <v>14</v>
      </c>
    </row>
    <row r="248" spans="1:11" x14ac:dyDescent="0.35">
      <c r="A248">
        <v>347</v>
      </c>
      <c r="B248" t="s">
        <v>15</v>
      </c>
      <c r="C248">
        <v>35</v>
      </c>
      <c r="D248" t="s">
        <v>16</v>
      </c>
      <c r="E248" t="s">
        <v>17</v>
      </c>
      <c r="F248">
        <v>830.9</v>
      </c>
      <c r="G248">
        <v>12</v>
      </c>
      <c r="H248">
        <v>4.3</v>
      </c>
      <c r="I248" t="b">
        <v>0</v>
      </c>
      <c r="J248">
        <v>14</v>
      </c>
      <c r="K248" t="s">
        <v>18</v>
      </c>
    </row>
    <row r="249" spans="1:11" x14ac:dyDescent="0.35">
      <c r="A249">
        <v>348</v>
      </c>
      <c r="B249" t="s">
        <v>11</v>
      </c>
      <c r="C249">
        <v>41</v>
      </c>
      <c r="D249" t="s">
        <v>19</v>
      </c>
      <c r="E249" t="s">
        <v>20</v>
      </c>
      <c r="F249">
        <v>490.25</v>
      </c>
      <c r="G249">
        <v>9</v>
      </c>
      <c r="H249">
        <v>3.6</v>
      </c>
      <c r="I249" t="b">
        <v>1</v>
      </c>
      <c r="J249">
        <v>40</v>
      </c>
      <c r="K249" t="s">
        <v>21</v>
      </c>
    </row>
    <row r="250" spans="1:11" x14ac:dyDescent="0.35">
      <c r="A250">
        <v>349</v>
      </c>
      <c r="B250" t="s">
        <v>15</v>
      </c>
      <c r="C250">
        <v>28</v>
      </c>
      <c r="D250" t="s">
        <v>22</v>
      </c>
      <c r="E250" t="s">
        <v>13</v>
      </c>
      <c r="F250">
        <v>1480.1</v>
      </c>
      <c r="G250">
        <v>21</v>
      </c>
      <c r="H250">
        <v>4.9000000000000004</v>
      </c>
      <c r="I250" t="b">
        <v>0</v>
      </c>
      <c r="J250">
        <v>10</v>
      </c>
      <c r="K250" t="s">
        <v>14</v>
      </c>
    </row>
    <row r="251" spans="1:11" x14ac:dyDescent="0.35">
      <c r="A251">
        <v>350</v>
      </c>
      <c r="B251" t="s">
        <v>15</v>
      </c>
      <c r="C251">
        <v>32</v>
      </c>
      <c r="D251" t="s">
        <v>23</v>
      </c>
      <c r="E251" t="s">
        <v>17</v>
      </c>
      <c r="F251">
        <v>690.3</v>
      </c>
      <c r="G251">
        <v>10</v>
      </c>
      <c r="H251">
        <v>3.8</v>
      </c>
      <c r="I251" t="b">
        <v>1</v>
      </c>
      <c r="J251">
        <v>34</v>
      </c>
      <c r="K251" t="s">
        <v>21</v>
      </c>
    </row>
    <row r="252" spans="1:11" x14ac:dyDescent="0.35">
      <c r="A252">
        <v>351</v>
      </c>
      <c r="B252" t="s">
        <v>11</v>
      </c>
      <c r="C252">
        <v>36</v>
      </c>
      <c r="D252" t="s">
        <v>24</v>
      </c>
      <c r="E252" t="s">
        <v>20</v>
      </c>
      <c r="F252">
        <v>480.5</v>
      </c>
      <c r="G252">
        <v>8</v>
      </c>
      <c r="H252">
        <v>3.1</v>
      </c>
      <c r="I252" t="b">
        <v>0</v>
      </c>
      <c r="J252">
        <v>20</v>
      </c>
      <c r="K252" t="s">
        <v>18</v>
      </c>
    </row>
    <row r="253" spans="1:11" x14ac:dyDescent="0.35">
      <c r="A253">
        <v>352</v>
      </c>
      <c r="B253" t="s">
        <v>11</v>
      </c>
      <c r="C253">
        <v>30</v>
      </c>
      <c r="D253" t="s">
        <v>12</v>
      </c>
      <c r="E253" t="s">
        <v>13</v>
      </c>
      <c r="F253">
        <v>1170.8</v>
      </c>
      <c r="G253">
        <v>16</v>
      </c>
      <c r="H253">
        <v>4.7</v>
      </c>
      <c r="I253" t="b">
        <v>1</v>
      </c>
      <c r="J253">
        <v>21</v>
      </c>
      <c r="K253" t="s">
        <v>14</v>
      </c>
    </row>
    <row r="254" spans="1:11" x14ac:dyDescent="0.35">
      <c r="A254">
        <v>353</v>
      </c>
      <c r="B254" t="s">
        <v>15</v>
      </c>
      <c r="C254">
        <v>34</v>
      </c>
      <c r="D254" t="s">
        <v>16</v>
      </c>
      <c r="E254" t="s">
        <v>17</v>
      </c>
      <c r="F254">
        <v>790.2</v>
      </c>
      <c r="G254">
        <v>11</v>
      </c>
      <c r="H254">
        <v>4</v>
      </c>
      <c r="I254" t="b">
        <v>0</v>
      </c>
      <c r="J254">
        <v>15</v>
      </c>
      <c r="K254" t="s">
        <v>18</v>
      </c>
    </row>
    <row r="255" spans="1:11" x14ac:dyDescent="0.35">
      <c r="A255">
        <v>354</v>
      </c>
      <c r="B255" t="s">
        <v>11</v>
      </c>
      <c r="C255">
        <v>43</v>
      </c>
      <c r="D255" t="s">
        <v>19</v>
      </c>
      <c r="E255" t="s">
        <v>20</v>
      </c>
      <c r="F255">
        <v>510.75</v>
      </c>
      <c r="G255">
        <v>10</v>
      </c>
      <c r="H255">
        <v>3.3</v>
      </c>
      <c r="I255" t="b">
        <v>1</v>
      </c>
      <c r="J255">
        <v>41</v>
      </c>
      <c r="K255" t="s">
        <v>21</v>
      </c>
    </row>
    <row r="256" spans="1:11" x14ac:dyDescent="0.35">
      <c r="A256">
        <v>355</v>
      </c>
      <c r="B256" t="s">
        <v>15</v>
      </c>
      <c r="C256">
        <v>30</v>
      </c>
      <c r="D256" t="s">
        <v>22</v>
      </c>
      <c r="E256" t="s">
        <v>13</v>
      </c>
      <c r="F256">
        <v>1440.5</v>
      </c>
      <c r="G256">
        <v>19</v>
      </c>
      <c r="H256">
        <v>4.5999999999999996</v>
      </c>
      <c r="I256" t="b">
        <v>0</v>
      </c>
      <c r="J256">
        <v>12</v>
      </c>
      <c r="K256" t="s">
        <v>14</v>
      </c>
    </row>
    <row r="257" spans="1:11" x14ac:dyDescent="0.35">
      <c r="A257">
        <v>356</v>
      </c>
      <c r="B257" t="s">
        <v>15</v>
      </c>
      <c r="C257">
        <v>27</v>
      </c>
      <c r="D257" t="s">
        <v>23</v>
      </c>
      <c r="E257" t="s">
        <v>17</v>
      </c>
      <c r="F257">
        <v>700.4</v>
      </c>
      <c r="G257">
        <v>13</v>
      </c>
      <c r="H257">
        <v>4.0999999999999996</v>
      </c>
      <c r="I257" t="b">
        <v>1</v>
      </c>
      <c r="J257">
        <v>56</v>
      </c>
      <c r="K257" t="s">
        <v>21</v>
      </c>
    </row>
    <row r="258" spans="1:11" x14ac:dyDescent="0.35">
      <c r="A258">
        <v>357</v>
      </c>
      <c r="B258" t="s">
        <v>11</v>
      </c>
      <c r="C258">
        <v>37</v>
      </c>
      <c r="D258" t="s">
        <v>24</v>
      </c>
      <c r="E258" t="s">
        <v>20</v>
      </c>
      <c r="F258">
        <v>410.8</v>
      </c>
      <c r="G258">
        <v>7</v>
      </c>
      <c r="H258">
        <v>3.4</v>
      </c>
      <c r="I258" t="b">
        <v>0</v>
      </c>
      <c r="J258">
        <v>26</v>
      </c>
      <c r="K258" t="s">
        <v>18</v>
      </c>
    </row>
    <row r="259" spans="1:11" x14ac:dyDescent="0.35">
      <c r="A259">
        <v>358</v>
      </c>
      <c r="B259" t="s">
        <v>11</v>
      </c>
      <c r="C259">
        <v>31</v>
      </c>
      <c r="D259" t="s">
        <v>12</v>
      </c>
      <c r="E259" t="s">
        <v>13</v>
      </c>
      <c r="F259">
        <v>1160.5999999999999</v>
      </c>
      <c r="G259">
        <v>15</v>
      </c>
      <c r="H259">
        <v>4.5</v>
      </c>
      <c r="I259" t="b">
        <v>1</v>
      </c>
      <c r="J259">
        <v>29</v>
      </c>
      <c r="K259" t="s">
        <v>14</v>
      </c>
    </row>
    <row r="260" spans="1:11" x14ac:dyDescent="0.35">
      <c r="A260">
        <v>359</v>
      </c>
      <c r="B260" t="s">
        <v>15</v>
      </c>
      <c r="C260">
        <v>35</v>
      </c>
      <c r="D260" t="s">
        <v>16</v>
      </c>
      <c r="E260" t="s">
        <v>17</v>
      </c>
      <c r="F260">
        <v>810.9</v>
      </c>
      <c r="G260">
        <v>12</v>
      </c>
      <c r="H260">
        <v>4.3</v>
      </c>
      <c r="I260" t="b">
        <v>0</v>
      </c>
      <c r="J260">
        <v>14</v>
      </c>
      <c r="K260" t="s">
        <v>18</v>
      </c>
    </row>
    <row r="261" spans="1:11" x14ac:dyDescent="0.35">
      <c r="A261">
        <v>360</v>
      </c>
      <c r="B261" t="s">
        <v>11</v>
      </c>
      <c r="C261">
        <v>41</v>
      </c>
      <c r="D261" t="s">
        <v>19</v>
      </c>
      <c r="E261" t="s">
        <v>20</v>
      </c>
      <c r="F261">
        <v>495.25</v>
      </c>
      <c r="G261">
        <v>9</v>
      </c>
      <c r="H261">
        <v>3.6</v>
      </c>
      <c r="I261" t="b">
        <v>1</v>
      </c>
      <c r="J261">
        <v>41</v>
      </c>
      <c r="K261" t="s">
        <v>21</v>
      </c>
    </row>
    <row r="262" spans="1:11" x14ac:dyDescent="0.35">
      <c r="A262">
        <v>361</v>
      </c>
      <c r="B262" t="s">
        <v>15</v>
      </c>
      <c r="C262">
        <v>28</v>
      </c>
      <c r="D262" t="s">
        <v>22</v>
      </c>
      <c r="E262" t="s">
        <v>13</v>
      </c>
      <c r="F262">
        <v>1490.1</v>
      </c>
      <c r="G262">
        <v>21</v>
      </c>
      <c r="H262">
        <v>4.9000000000000004</v>
      </c>
      <c r="I262" t="b">
        <v>0</v>
      </c>
      <c r="J262">
        <v>10</v>
      </c>
      <c r="K262" t="s">
        <v>14</v>
      </c>
    </row>
    <row r="263" spans="1:11" x14ac:dyDescent="0.35">
      <c r="A263">
        <v>362</v>
      </c>
      <c r="B263" t="s">
        <v>15</v>
      </c>
      <c r="C263">
        <v>32</v>
      </c>
      <c r="D263" t="s">
        <v>23</v>
      </c>
      <c r="E263" t="s">
        <v>17</v>
      </c>
      <c r="F263">
        <v>660.3</v>
      </c>
      <c r="G263">
        <v>10</v>
      </c>
      <c r="H263">
        <v>3.8</v>
      </c>
      <c r="I263" t="b">
        <v>1</v>
      </c>
      <c r="J263">
        <v>35</v>
      </c>
      <c r="K263" t="s">
        <v>21</v>
      </c>
    </row>
    <row r="264" spans="1:11" x14ac:dyDescent="0.35">
      <c r="A264">
        <v>363</v>
      </c>
      <c r="B264" t="s">
        <v>11</v>
      </c>
      <c r="C264">
        <v>36</v>
      </c>
      <c r="D264" t="s">
        <v>24</v>
      </c>
      <c r="E264" t="s">
        <v>20</v>
      </c>
      <c r="F264">
        <v>430.5</v>
      </c>
      <c r="G264">
        <v>8</v>
      </c>
      <c r="H264">
        <v>3.1</v>
      </c>
      <c r="I264" t="b">
        <v>0</v>
      </c>
      <c r="J264">
        <v>21</v>
      </c>
      <c r="K264" t="s">
        <v>18</v>
      </c>
    </row>
    <row r="265" spans="1:11" x14ac:dyDescent="0.35">
      <c r="A265">
        <v>364</v>
      </c>
      <c r="B265" t="s">
        <v>11</v>
      </c>
      <c r="C265">
        <v>30</v>
      </c>
      <c r="D265" t="s">
        <v>12</v>
      </c>
      <c r="E265" t="s">
        <v>13</v>
      </c>
      <c r="F265">
        <v>1200.8</v>
      </c>
      <c r="G265">
        <v>16</v>
      </c>
      <c r="H265">
        <v>4.7</v>
      </c>
      <c r="I265" t="b">
        <v>1</v>
      </c>
      <c r="J265">
        <v>22</v>
      </c>
      <c r="K265" t="s">
        <v>14</v>
      </c>
    </row>
    <row r="266" spans="1:11" x14ac:dyDescent="0.35">
      <c r="A266">
        <v>365</v>
      </c>
      <c r="B266" t="s">
        <v>15</v>
      </c>
      <c r="C266">
        <v>34</v>
      </c>
      <c r="D266" t="s">
        <v>16</v>
      </c>
      <c r="E266" t="s">
        <v>17</v>
      </c>
      <c r="F266">
        <v>780.2</v>
      </c>
      <c r="G266">
        <v>11</v>
      </c>
      <c r="H266">
        <v>4.0999999999999996</v>
      </c>
      <c r="I266" t="b">
        <v>0</v>
      </c>
      <c r="J266">
        <v>16</v>
      </c>
      <c r="K266" t="s">
        <v>18</v>
      </c>
    </row>
    <row r="267" spans="1:11" x14ac:dyDescent="0.35">
      <c r="A267">
        <v>366</v>
      </c>
      <c r="B267" t="s">
        <v>11</v>
      </c>
      <c r="C267">
        <v>43</v>
      </c>
      <c r="D267" t="s">
        <v>19</v>
      </c>
      <c r="E267" t="s">
        <v>20</v>
      </c>
      <c r="F267">
        <v>505.75</v>
      </c>
      <c r="G267">
        <v>10</v>
      </c>
      <c r="H267">
        <v>3.3</v>
      </c>
      <c r="I267" t="b">
        <v>1</v>
      </c>
      <c r="J267">
        <v>42</v>
      </c>
      <c r="K267" t="s">
        <v>21</v>
      </c>
    </row>
    <row r="268" spans="1:11" x14ac:dyDescent="0.35">
      <c r="A268">
        <v>367</v>
      </c>
      <c r="B268" t="s">
        <v>15</v>
      </c>
      <c r="C268">
        <v>30</v>
      </c>
      <c r="D268" t="s">
        <v>22</v>
      </c>
      <c r="E268" t="s">
        <v>13</v>
      </c>
      <c r="F268">
        <v>1460.5</v>
      </c>
      <c r="G268">
        <v>20</v>
      </c>
      <c r="H268">
        <v>4.8</v>
      </c>
      <c r="I268" t="b">
        <v>0</v>
      </c>
      <c r="J268">
        <v>13</v>
      </c>
      <c r="K268" t="s">
        <v>14</v>
      </c>
    </row>
    <row r="269" spans="1:11" x14ac:dyDescent="0.35">
      <c r="A269">
        <v>368</v>
      </c>
      <c r="B269" t="s">
        <v>15</v>
      </c>
      <c r="C269">
        <v>27</v>
      </c>
      <c r="D269" t="s">
        <v>23</v>
      </c>
      <c r="E269" t="s">
        <v>17</v>
      </c>
      <c r="F269">
        <v>710.4</v>
      </c>
      <c r="G269">
        <v>13</v>
      </c>
      <c r="H269">
        <v>4.0999999999999996</v>
      </c>
      <c r="I269" t="b">
        <v>1</v>
      </c>
      <c r="J269">
        <v>57</v>
      </c>
      <c r="K269" t="s">
        <v>21</v>
      </c>
    </row>
    <row r="270" spans="1:11" x14ac:dyDescent="0.35">
      <c r="A270">
        <v>369</v>
      </c>
      <c r="B270" t="s">
        <v>11</v>
      </c>
      <c r="C270">
        <v>37</v>
      </c>
      <c r="D270" t="s">
        <v>24</v>
      </c>
      <c r="E270" t="s">
        <v>20</v>
      </c>
      <c r="F270">
        <v>450.8</v>
      </c>
      <c r="G270">
        <v>7</v>
      </c>
      <c r="H270">
        <v>3.4</v>
      </c>
      <c r="I270" t="b">
        <v>0</v>
      </c>
      <c r="J270">
        <v>24</v>
      </c>
      <c r="K270" t="s">
        <v>18</v>
      </c>
    </row>
    <row r="271" spans="1:11" x14ac:dyDescent="0.35">
      <c r="A271">
        <v>370</v>
      </c>
      <c r="B271" t="s">
        <v>11</v>
      </c>
      <c r="C271">
        <v>31</v>
      </c>
      <c r="D271" t="s">
        <v>12</v>
      </c>
      <c r="E271" t="s">
        <v>13</v>
      </c>
      <c r="F271">
        <v>1140.5999999999999</v>
      </c>
      <c r="G271">
        <v>15</v>
      </c>
      <c r="H271">
        <v>4.5</v>
      </c>
      <c r="I271" t="b">
        <v>1</v>
      </c>
      <c r="J271">
        <v>30</v>
      </c>
      <c r="K271" t="s">
        <v>14</v>
      </c>
    </row>
    <row r="272" spans="1:11" x14ac:dyDescent="0.35">
      <c r="A272">
        <v>371</v>
      </c>
      <c r="B272" t="s">
        <v>15</v>
      </c>
      <c r="C272">
        <v>35</v>
      </c>
      <c r="D272" t="s">
        <v>16</v>
      </c>
      <c r="E272" t="s">
        <v>17</v>
      </c>
      <c r="F272">
        <v>800.9</v>
      </c>
      <c r="G272">
        <v>12</v>
      </c>
      <c r="H272">
        <v>4.0999999999999996</v>
      </c>
      <c r="I272" t="b">
        <v>0</v>
      </c>
      <c r="J272">
        <v>17</v>
      </c>
      <c r="K272" t="s">
        <v>18</v>
      </c>
    </row>
    <row r="273" spans="1:11" x14ac:dyDescent="0.35">
      <c r="A273">
        <v>372</v>
      </c>
      <c r="B273" t="s">
        <v>11</v>
      </c>
      <c r="C273">
        <v>41</v>
      </c>
      <c r="D273" t="s">
        <v>19</v>
      </c>
      <c r="E273" t="s">
        <v>20</v>
      </c>
      <c r="F273">
        <v>475.25</v>
      </c>
      <c r="G273">
        <v>9</v>
      </c>
      <c r="H273">
        <v>3.6</v>
      </c>
      <c r="I273" t="b">
        <v>1</v>
      </c>
      <c r="J273">
        <v>42</v>
      </c>
      <c r="K273" t="s">
        <v>21</v>
      </c>
    </row>
    <row r="274" spans="1:11" x14ac:dyDescent="0.35">
      <c r="A274">
        <v>373</v>
      </c>
      <c r="B274" t="s">
        <v>15</v>
      </c>
      <c r="C274">
        <v>28</v>
      </c>
      <c r="D274" t="s">
        <v>22</v>
      </c>
      <c r="E274" t="s">
        <v>13</v>
      </c>
      <c r="F274">
        <v>1480.1</v>
      </c>
      <c r="G274">
        <v>21</v>
      </c>
      <c r="H274">
        <v>4.9000000000000004</v>
      </c>
      <c r="I274" t="b">
        <v>0</v>
      </c>
      <c r="J274">
        <v>11</v>
      </c>
      <c r="K274" t="s">
        <v>14</v>
      </c>
    </row>
    <row r="275" spans="1:11" x14ac:dyDescent="0.35">
      <c r="A275">
        <v>374</v>
      </c>
      <c r="B275" t="s">
        <v>15</v>
      </c>
      <c r="C275">
        <v>32</v>
      </c>
      <c r="D275" t="s">
        <v>23</v>
      </c>
      <c r="E275" t="s">
        <v>17</v>
      </c>
      <c r="F275">
        <v>660.3</v>
      </c>
      <c r="G275">
        <v>10</v>
      </c>
      <c r="H275">
        <v>3.8</v>
      </c>
      <c r="I275" t="b">
        <v>1</v>
      </c>
      <c r="J275">
        <v>36</v>
      </c>
      <c r="K275" t="s">
        <v>21</v>
      </c>
    </row>
    <row r="276" spans="1:11" x14ac:dyDescent="0.35">
      <c r="A276">
        <v>375</v>
      </c>
      <c r="B276" t="s">
        <v>11</v>
      </c>
      <c r="C276">
        <v>36</v>
      </c>
      <c r="D276" t="s">
        <v>24</v>
      </c>
      <c r="E276" t="s">
        <v>20</v>
      </c>
      <c r="F276">
        <v>470.5</v>
      </c>
      <c r="G276">
        <v>8</v>
      </c>
      <c r="H276">
        <v>3</v>
      </c>
      <c r="I276" t="b">
        <v>0</v>
      </c>
      <c r="J276">
        <v>22</v>
      </c>
      <c r="K276" t="s">
        <v>18</v>
      </c>
    </row>
    <row r="277" spans="1:11" x14ac:dyDescent="0.35">
      <c r="A277">
        <v>376</v>
      </c>
      <c r="B277" t="s">
        <v>11</v>
      </c>
      <c r="C277">
        <v>30</v>
      </c>
      <c r="D277" t="s">
        <v>12</v>
      </c>
      <c r="E277" t="s">
        <v>13</v>
      </c>
      <c r="F277">
        <v>1190.8</v>
      </c>
      <c r="G277">
        <v>16</v>
      </c>
      <c r="H277">
        <v>4.5</v>
      </c>
      <c r="I277" t="b">
        <v>1</v>
      </c>
      <c r="J277">
        <v>23</v>
      </c>
      <c r="K277" t="s">
        <v>14</v>
      </c>
    </row>
    <row r="278" spans="1:11" x14ac:dyDescent="0.35">
      <c r="A278">
        <v>377</v>
      </c>
      <c r="B278" t="s">
        <v>15</v>
      </c>
      <c r="C278">
        <v>33</v>
      </c>
      <c r="D278" t="s">
        <v>16</v>
      </c>
      <c r="E278" t="s">
        <v>17</v>
      </c>
      <c r="F278">
        <v>770.2</v>
      </c>
      <c r="G278">
        <v>11</v>
      </c>
      <c r="H278">
        <v>4.2</v>
      </c>
      <c r="I278" t="b">
        <v>0</v>
      </c>
      <c r="J278">
        <v>18</v>
      </c>
      <c r="K278" t="s">
        <v>18</v>
      </c>
    </row>
    <row r="279" spans="1:11" x14ac:dyDescent="0.35">
      <c r="A279">
        <v>378</v>
      </c>
      <c r="B279" t="s">
        <v>11</v>
      </c>
      <c r="C279">
        <v>43</v>
      </c>
      <c r="D279" t="s">
        <v>19</v>
      </c>
      <c r="E279" t="s">
        <v>20</v>
      </c>
      <c r="F279">
        <v>515.75</v>
      </c>
      <c r="G279">
        <v>10</v>
      </c>
      <c r="H279">
        <v>3.3</v>
      </c>
      <c r="I279" t="b">
        <v>1</v>
      </c>
      <c r="J279">
        <v>43</v>
      </c>
      <c r="K279" t="s">
        <v>21</v>
      </c>
    </row>
    <row r="280" spans="1:11" x14ac:dyDescent="0.35">
      <c r="A280">
        <v>379</v>
      </c>
      <c r="B280" t="s">
        <v>15</v>
      </c>
      <c r="C280">
        <v>30</v>
      </c>
      <c r="D280" t="s">
        <v>22</v>
      </c>
      <c r="E280" t="s">
        <v>13</v>
      </c>
      <c r="F280">
        <v>1450.5</v>
      </c>
      <c r="G280">
        <v>19</v>
      </c>
      <c r="H280">
        <v>4.5999999999999996</v>
      </c>
      <c r="I280" t="b">
        <v>0</v>
      </c>
      <c r="J280">
        <v>12</v>
      </c>
      <c r="K280" t="s">
        <v>14</v>
      </c>
    </row>
    <row r="281" spans="1:11" x14ac:dyDescent="0.35">
      <c r="A281">
        <v>380</v>
      </c>
      <c r="B281" t="s">
        <v>15</v>
      </c>
      <c r="C281">
        <v>27</v>
      </c>
      <c r="D281" t="s">
        <v>23</v>
      </c>
      <c r="E281" t="s">
        <v>17</v>
      </c>
      <c r="F281">
        <v>710.4</v>
      </c>
      <c r="G281">
        <v>13</v>
      </c>
      <c r="H281">
        <v>4.0999999999999996</v>
      </c>
      <c r="I281" t="b">
        <v>1</v>
      </c>
      <c r="J281">
        <v>58</v>
      </c>
      <c r="K281" t="s">
        <v>21</v>
      </c>
    </row>
    <row r="282" spans="1:11" x14ac:dyDescent="0.35">
      <c r="A282">
        <v>381</v>
      </c>
      <c r="B282" t="s">
        <v>11</v>
      </c>
      <c r="C282">
        <v>37</v>
      </c>
      <c r="D282" t="s">
        <v>24</v>
      </c>
      <c r="E282" t="s">
        <v>20</v>
      </c>
      <c r="F282">
        <v>430.8</v>
      </c>
      <c r="G282">
        <v>7</v>
      </c>
      <c r="H282">
        <v>3.4</v>
      </c>
      <c r="I282" t="b">
        <v>0</v>
      </c>
      <c r="J282">
        <v>27</v>
      </c>
      <c r="K282" t="s">
        <v>18</v>
      </c>
    </row>
    <row r="283" spans="1:11" x14ac:dyDescent="0.35">
      <c r="A283">
        <v>382</v>
      </c>
      <c r="B283" t="s">
        <v>11</v>
      </c>
      <c r="C283">
        <v>31</v>
      </c>
      <c r="D283" t="s">
        <v>12</v>
      </c>
      <c r="E283" t="s">
        <v>13</v>
      </c>
      <c r="F283">
        <v>1160.5999999999999</v>
      </c>
      <c r="G283">
        <v>15</v>
      </c>
      <c r="H283">
        <v>4.5</v>
      </c>
      <c r="I283" t="b">
        <v>1</v>
      </c>
      <c r="J283">
        <v>31</v>
      </c>
      <c r="K283" t="s">
        <v>14</v>
      </c>
    </row>
    <row r="284" spans="1:11" x14ac:dyDescent="0.35">
      <c r="A284">
        <v>383</v>
      </c>
      <c r="B284" t="s">
        <v>15</v>
      </c>
      <c r="C284">
        <v>35</v>
      </c>
      <c r="D284" t="s">
        <v>16</v>
      </c>
      <c r="E284" t="s">
        <v>17</v>
      </c>
      <c r="F284">
        <v>820.9</v>
      </c>
      <c r="G284">
        <v>12</v>
      </c>
      <c r="H284">
        <v>4.3</v>
      </c>
      <c r="I284" t="b">
        <v>0</v>
      </c>
      <c r="J284">
        <v>15</v>
      </c>
      <c r="K284" t="s">
        <v>18</v>
      </c>
    </row>
    <row r="285" spans="1:11" x14ac:dyDescent="0.35">
      <c r="A285">
        <v>384</v>
      </c>
      <c r="B285" t="s">
        <v>11</v>
      </c>
      <c r="C285">
        <v>41</v>
      </c>
      <c r="D285" t="s">
        <v>19</v>
      </c>
      <c r="E285" t="s">
        <v>20</v>
      </c>
      <c r="F285">
        <v>495.25</v>
      </c>
      <c r="G285">
        <v>9</v>
      </c>
      <c r="H285">
        <v>3.6</v>
      </c>
      <c r="I285" t="b">
        <v>1</v>
      </c>
      <c r="J285">
        <v>43</v>
      </c>
      <c r="K285" t="s">
        <v>21</v>
      </c>
    </row>
    <row r="286" spans="1:11" x14ac:dyDescent="0.35">
      <c r="A286">
        <v>385</v>
      </c>
      <c r="B286" t="s">
        <v>15</v>
      </c>
      <c r="C286">
        <v>28</v>
      </c>
      <c r="D286" t="s">
        <v>22</v>
      </c>
      <c r="E286" t="s">
        <v>13</v>
      </c>
      <c r="F286">
        <v>1490.1</v>
      </c>
      <c r="G286">
        <v>21</v>
      </c>
      <c r="H286">
        <v>4.9000000000000004</v>
      </c>
      <c r="I286" t="b">
        <v>0</v>
      </c>
      <c r="J286">
        <v>10</v>
      </c>
      <c r="K286" t="s">
        <v>14</v>
      </c>
    </row>
    <row r="287" spans="1:11" x14ac:dyDescent="0.35">
      <c r="A287">
        <v>386</v>
      </c>
      <c r="B287" t="s">
        <v>15</v>
      </c>
      <c r="C287">
        <v>32</v>
      </c>
      <c r="D287" t="s">
        <v>23</v>
      </c>
      <c r="E287" t="s">
        <v>17</v>
      </c>
      <c r="F287">
        <v>660.3</v>
      </c>
      <c r="G287">
        <v>10</v>
      </c>
      <c r="H287">
        <v>3.8</v>
      </c>
      <c r="I287" t="b">
        <v>1</v>
      </c>
      <c r="J287">
        <v>37</v>
      </c>
      <c r="K287" t="s">
        <v>21</v>
      </c>
    </row>
    <row r="288" spans="1:11" x14ac:dyDescent="0.35">
      <c r="A288">
        <v>387</v>
      </c>
      <c r="B288" t="s">
        <v>11</v>
      </c>
      <c r="C288">
        <v>36</v>
      </c>
      <c r="D288" t="s">
        <v>24</v>
      </c>
      <c r="E288" t="s">
        <v>20</v>
      </c>
      <c r="F288">
        <v>440.5</v>
      </c>
      <c r="G288">
        <v>8</v>
      </c>
      <c r="H288">
        <v>3.1</v>
      </c>
      <c r="I288" t="b">
        <v>0</v>
      </c>
      <c r="J288">
        <v>23</v>
      </c>
      <c r="K288" t="s">
        <v>18</v>
      </c>
    </row>
    <row r="289" spans="1:11" x14ac:dyDescent="0.35">
      <c r="A289">
        <v>388</v>
      </c>
      <c r="B289" t="s">
        <v>11</v>
      </c>
      <c r="C289">
        <v>30</v>
      </c>
      <c r="D289" t="s">
        <v>12</v>
      </c>
      <c r="E289" t="s">
        <v>13</v>
      </c>
      <c r="F289">
        <v>1200.8</v>
      </c>
      <c r="G289">
        <v>16</v>
      </c>
      <c r="H289">
        <v>4.7</v>
      </c>
      <c r="I289" t="b">
        <v>1</v>
      </c>
      <c r="J289">
        <v>24</v>
      </c>
      <c r="K289" t="s">
        <v>14</v>
      </c>
    </row>
    <row r="290" spans="1:11" x14ac:dyDescent="0.35">
      <c r="A290">
        <v>389</v>
      </c>
      <c r="B290" t="s">
        <v>15</v>
      </c>
      <c r="C290">
        <v>34</v>
      </c>
      <c r="D290" t="s">
        <v>16</v>
      </c>
      <c r="E290" t="s">
        <v>17</v>
      </c>
      <c r="F290">
        <v>780.2</v>
      </c>
      <c r="G290">
        <v>11</v>
      </c>
      <c r="H290">
        <v>4.0999999999999996</v>
      </c>
      <c r="I290" t="b">
        <v>0</v>
      </c>
      <c r="J290">
        <v>16</v>
      </c>
      <c r="K290" t="s">
        <v>18</v>
      </c>
    </row>
    <row r="291" spans="1:11" x14ac:dyDescent="0.35">
      <c r="A291">
        <v>390</v>
      </c>
      <c r="B291" t="s">
        <v>11</v>
      </c>
      <c r="C291">
        <v>43</v>
      </c>
      <c r="D291" t="s">
        <v>19</v>
      </c>
      <c r="E291" t="s">
        <v>20</v>
      </c>
      <c r="F291">
        <v>505.75</v>
      </c>
      <c r="G291">
        <v>10</v>
      </c>
      <c r="H291">
        <v>3.3</v>
      </c>
      <c r="I291" t="b">
        <v>1</v>
      </c>
      <c r="J291">
        <v>44</v>
      </c>
      <c r="K291" t="s">
        <v>21</v>
      </c>
    </row>
    <row r="292" spans="1:11" x14ac:dyDescent="0.35">
      <c r="A292">
        <v>391</v>
      </c>
      <c r="B292" t="s">
        <v>15</v>
      </c>
      <c r="C292">
        <v>30</v>
      </c>
      <c r="D292" t="s">
        <v>22</v>
      </c>
      <c r="E292" t="s">
        <v>13</v>
      </c>
      <c r="F292">
        <v>1460.5</v>
      </c>
      <c r="G292">
        <v>20</v>
      </c>
      <c r="H292">
        <v>4.8</v>
      </c>
      <c r="I292" t="b">
        <v>0</v>
      </c>
      <c r="J292">
        <v>13</v>
      </c>
      <c r="K292" t="s">
        <v>14</v>
      </c>
    </row>
    <row r="293" spans="1:11" x14ac:dyDescent="0.35">
      <c r="A293">
        <v>392</v>
      </c>
      <c r="B293" t="s">
        <v>15</v>
      </c>
      <c r="C293">
        <v>27</v>
      </c>
      <c r="D293" t="s">
        <v>23</v>
      </c>
      <c r="E293" t="s">
        <v>17</v>
      </c>
      <c r="F293">
        <v>710.4</v>
      </c>
      <c r="G293">
        <v>13</v>
      </c>
      <c r="H293">
        <v>4.0999999999999996</v>
      </c>
      <c r="I293" t="b">
        <v>1</v>
      </c>
      <c r="J293">
        <v>59</v>
      </c>
      <c r="K293" t="s">
        <v>21</v>
      </c>
    </row>
    <row r="294" spans="1:11" x14ac:dyDescent="0.35">
      <c r="A294">
        <v>393</v>
      </c>
      <c r="B294" t="s">
        <v>11</v>
      </c>
      <c r="C294">
        <v>37</v>
      </c>
      <c r="D294" t="s">
        <v>24</v>
      </c>
      <c r="E294" t="s">
        <v>20</v>
      </c>
      <c r="F294">
        <v>450.8</v>
      </c>
      <c r="G294">
        <v>7</v>
      </c>
      <c r="H294">
        <v>3.4</v>
      </c>
      <c r="I294" t="b">
        <v>0</v>
      </c>
      <c r="J294">
        <v>28</v>
      </c>
      <c r="K294" t="s">
        <v>18</v>
      </c>
    </row>
    <row r="295" spans="1:11" x14ac:dyDescent="0.35">
      <c r="A295">
        <v>394</v>
      </c>
      <c r="B295" t="s">
        <v>11</v>
      </c>
      <c r="C295">
        <v>31</v>
      </c>
      <c r="D295" t="s">
        <v>12</v>
      </c>
      <c r="E295" t="s">
        <v>13</v>
      </c>
      <c r="F295">
        <v>1140.5999999999999</v>
      </c>
      <c r="G295">
        <v>15</v>
      </c>
      <c r="H295">
        <v>4.5</v>
      </c>
      <c r="I295" t="b">
        <v>1</v>
      </c>
      <c r="J295">
        <v>32</v>
      </c>
      <c r="K295" t="s">
        <v>14</v>
      </c>
    </row>
    <row r="296" spans="1:11" x14ac:dyDescent="0.35">
      <c r="A296">
        <v>395</v>
      </c>
      <c r="B296" t="s">
        <v>15</v>
      </c>
      <c r="C296">
        <v>35</v>
      </c>
      <c r="D296" t="s">
        <v>16</v>
      </c>
      <c r="E296" t="s">
        <v>17</v>
      </c>
      <c r="F296">
        <v>800.9</v>
      </c>
      <c r="G296">
        <v>12</v>
      </c>
      <c r="H296">
        <v>4.0999999999999996</v>
      </c>
      <c r="I296" t="b">
        <v>0</v>
      </c>
      <c r="J296">
        <v>17</v>
      </c>
      <c r="K296" t="s">
        <v>18</v>
      </c>
    </row>
    <row r="297" spans="1:11" x14ac:dyDescent="0.35">
      <c r="A297">
        <v>396</v>
      </c>
      <c r="B297" t="s">
        <v>11</v>
      </c>
      <c r="C297">
        <v>41</v>
      </c>
      <c r="D297" t="s">
        <v>19</v>
      </c>
      <c r="E297" t="s">
        <v>20</v>
      </c>
      <c r="F297">
        <v>475.25</v>
      </c>
      <c r="G297">
        <v>9</v>
      </c>
      <c r="H297">
        <v>3.6</v>
      </c>
      <c r="I297" t="b">
        <v>1</v>
      </c>
      <c r="J297">
        <v>44</v>
      </c>
      <c r="K297" t="s">
        <v>21</v>
      </c>
    </row>
    <row r="298" spans="1:11" x14ac:dyDescent="0.35">
      <c r="A298">
        <v>397</v>
      </c>
      <c r="B298" t="s">
        <v>15</v>
      </c>
      <c r="C298">
        <v>28</v>
      </c>
      <c r="D298" t="s">
        <v>22</v>
      </c>
      <c r="E298" t="s">
        <v>13</v>
      </c>
      <c r="F298">
        <v>1480.1</v>
      </c>
      <c r="G298">
        <v>21</v>
      </c>
      <c r="H298">
        <v>4.9000000000000004</v>
      </c>
      <c r="I298" t="b">
        <v>0</v>
      </c>
      <c r="J298">
        <v>12</v>
      </c>
      <c r="K298" t="s">
        <v>14</v>
      </c>
    </row>
    <row r="299" spans="1:11" x14ac:dyDescent="0.35">
      <c r="A299">
        <v>398</v>
      </c>
      <c r="B299" t="s">
        <v>15</v>
      </c>
      <c r="C299">
        <v>32</v>
      </c>
      <c r="D299" t="s">
        <v>23</v>
      </c>
      <c r="E299" t="s">
        <v>17</v>
      </c>
      <c r="F299">
        <v>660.3</v>
      </c>
      <c r="G299">
        <v>10</v>
      </c>
      <c r="H299">
        <v>3.8</v>
      </c>
      <c r="I299" t="b">
        <v>1</v>
      </c>
      <c r="J299">
        <v>38</v>
      </c>
      <c r="K299" t="s">
        <v>21</v>
      </c>
    </row>
    <row r="300" spans="1:11" x14ac:dyDescent="0.35">
      <c r="A300">
        <v>399</v>
      </c>
      <c r="B300" t="s">
        <v>11</v>
      </c>
      <c r="C300">
        <v>36</v>
      </c>
      <c r="D300" t="s">
        <v>24</v>
      </c>
      <c r="E300" t="s">
        <v>20</v>
      </c>
      <c r="F300">
        <v>470.5</v>
      </c>
      <c r="G300">
        <v>8</v>
      </c>
      <c r="H300">
        <v>3</v>
      </c>
      <c r="I300" t="b">
        <v>0</v>
      </c>
      <c r="J300">
        <v>22</v>
      </c>
      <c r="K300" t="s">
        <v>18</v>
      </c>
    </row>
    <row r="301" spans="1:11" x14ac:dyDescent="0.35">
      <c r="A301">
        <v>400</v>
      </c>
      <c r="B301" t="s">
        <v>11</v>
      </c>
      <c r="C301">
        <v>30</v>
      </c>
      <c r="D301" t="s">
        <v>12</v>
      </c>
      <c r="E301" t="s">
        <v>13</v>
      </c>
      <c r="F301">
        <v>1190.8</v>
      </c>
      <c r="G301">
        <v>16</v>
      </c>
      <c r="H301">
        <v>4.5</v>
      </c>
      <c r="I301" t="b">
        <v>1</v>
      </c>
      <c r="J301">
        <v>25</v>
      </c>
      <c r="K301" t="s">
        <v>14</v>
      </c>
    </row>
    <row r="302" spans="1:11" x14ac:dyDescent="0.35">
      <c r="A302">
        <v>401</v>
      </c>
      <c r="B302" t="s">
        <v>15</v>
      </c>
      <c r="C302">
        <v>33</v>
      </c>
      <c r="D302" t="s">
        <v>16</v>
      </c>
      <c r="E302" t="s">
        <v>17</v>
      </c>
      <c r="F302">
        <v>800.2</v>
      </c>
      <c r="G302">
        <v>11</v>
      </c>
      <c r="H302">
        <v>4.0999999999999996</v>
      </c>
      <c r="I302" t="b">
        <v>0</v>
      </c>
      <c r="J302">
        <v>18</v>
      </c>
      <c r="K302" t="s">
        <v>18</v>
      </c>
    </row>
    <row r="303" spans="1:11" x14ac:dyDescent="0.35">
      <c r="A303">
        <v>402</v>
      </c>
      <c r="B303" t="s">
        <v>11</v>
      </c>
      <c r="C303">
        <v>43</v>
      </c>
      <c r="D303" t="s">
        <v>19</v>
      </c>
      <c r="E303" t="s">
        <v>20</v>
      </c>
      <c r="F303">
        <v>515.75</v>
      </c>
      <c r="G303">
        <v>10</v>
      </c>
      <c r="H303">
        <v>3.3</v>
      </c>
      <c r="I303" t="b">
        <v>1</v>
      </c>
      <c r="J303">
        <v>45</v>
      </c>
      <c r="K303" t="s">
        <v>21</v>
      </c>
    </row>
    <row r="304" spans="1:11" x14ac:dyDescent="0.35">
      <c r="A304">
        <v>403</v>
      </c>
      <c r="B304" t="s">
        <v>15</v>
      </c>
      <c r="C304">
        <v>30</v>
      </c>
      <c r="D304" t="s">
        <v>22</v>
      </c>
      <c r="E304" t="s">
        <v>13</v>
      </c>
      <c r="F304">
        <v>1450.5</v>
      </c>
      <c r="G304">
        <v>19</v>
      </c>
      <c r="H304">
        <v>4.5999999999999996</v>
      </c>
      <c r="I304" t="b">
        <v>0</v>
      </c>
      <c r="J304">
        <v>13</v>
      </c>
      <c r="K304" t="s">
        <v>14</v>
      </c>
    </row>
    <row r="305" spans="1:11" x14ac:dyDescent="0.35">
      <c r="A305">
        <v>404</v>
      </c>
      <c r="B305" t="s">
        <v>15</v>
      </c>
      <c r="C305">
        <v>27</v>
      </c>
      <c r="D305" t="s">
        <v>23</v>
      </c>
      <c r="E305" t="s">
        <v>17</v>
      </c>
      <c r="F305">
        <v>710.4</v>
      </c>
      <c r="G305">
        <v>13</v>
      </c>
      <c r="H305">
        <v>4.0999999999999996</v>
      </c>
      <c r="I305" t="b">
        <v>1</v>
      </c>
      <c r="J305">
        <v>60</v>
      </c>
      <c r="K305" t="s">
        <v>21</v>
      </c>
    </row>
    <row r="306" spans="1:11" x14ac:dyDescent="0.35">
      <c r="A306">
        <v>405</v>
      </c>
      <c r="B306" t="s">
        <v>11</v>
      </c>
      <c r="C306">
        <v>37</v>
      </c>
      <c r="D306" t="s">
        <v>24</v>
      </c>
      <c r="E306" t="s">
        <v>20</v>
      </c>
      <c r="F306">
        <v>430.8</v>
      </c>
      <c r="G306">
        <v>7</v>
      </c>
      <c r="H306">
        <v>3.4</v>
      </c>
      <c r="I306" t="b">
        <v>0</v>
      </c>
      <c r="J306">
        <v>29</v>
      </c>
      <c r="K306" t="s">
        <v>18</v>
      </c>
    </row>
    <row r="307" spans="1:11" x14ac:dyDescent="0.35">
      <c r="A307">
        <v>406</v>
      </c>
      <c r="B307" t="s">
        <v>11</v>
      </c>
      <c r="C307">
        <v>31</v>
      </c>
      <c r="D307" t="s">
        <v>12</v>
      </c>
      <c r="E307" t="s">
        <v>13</v>
      </c>
      <c r="F307">
        <v>1160.5999999999999</v>
      </c>
      <c r="G307">
        <v>15</v>
      </c>
      <c r="H307">
        <v>4.5</v>
      </c>
      <c r="I307" t="b">
        <v>1</v>
      </c>
      <c r="J307">
        <v>33</v>
      </c>
      <c r="K307" t="s">
        <v>14</v>
      </c>
    </row>
    <row r="308" spans="1:11" x14ac:dyDescent="0.35">
      <c r="A308">
        <v>407</v>
      </c>
      <c r="B308" t="s">
        <v>15</v>
      </c>
      <c r="C308">
        <v>35</v>
      </c>
      <c r="D308" t="s">
        <v>16</v>
      </c>
      <c r="E308" t="s">
        <v>17</v>
      </c>
      <c r="F308">
        <v>820.9</v>
      </c>
      <c r="G308">
        <v>12</v>
      </c>
      <c r="H308">
        <v>4.3</v>
      </c>
      <c r="I308" t="b">
        <v>0</v>
      </c>
      <c r="J308">
        <v>16</v>
      </c>
      <c r="K308" t="s">
        <v>18</v>
      </c>
    </row>
    <row r="309" spans="1:11" x14ac:dyDescent="0.35">
      <c r="A309">
        <v>408</v>
      </c>
      <c r="B309" t="s">
        <v>11</v>
      </c>
      <c r="C309">
        <v>41</v>
      </c>
      <c r="D309" t="s">
        <v>19</v>
      </c>
      <c r="E309" t="s">
        <v>20</v>
      </c>
      <c r="F309">
        <v>495.25</v>
      </c>
      <c r="G309">
        <v>9</v>
      </c>
      <c r="H309">
        <v>3.6</v>
      </c>
      <c r="I309" t="b">
        <v>1</v>
      </c>
      <c r="J309">
        <v>45</v>
      </c>
      <c r="K309" t="s">
        <v>21</v>
      </c>
    </row>
    <row r="310" spans="1:11" x14ac:dyDescent="0.35">
      <c r="A310">
        <v>409</v>
      </c>
      <c r="B310" t="s">
        <v>15</v>
      </c>
      <c r="C310">
        <v>28</v>
      </c>
      <c r="D310" t="s">
        <v>22</v>
      </c>
      <c r="E310" t="s">
        <v>13</v>
      </c>
      <c r="F310">
        <v>1490.1</v>
      </c>
      <c r="G310">
        <v>21</v>
      </c>
      <c r="H310">
        <v>4.9000000000000004</v>
      </c>
      <c r="I310" t="b">
        <v>0</v>
      </c>
      <c r="J310">
        <v>11</v>
      </c>
      <c r="K310" t="s">
        <v>14</v>
      </c>
    </row>
    <row r="311" spans="1:11" x14ac:dyDescent="0.35">
      <c r="A311">
        <v>410</v>
      </c>
      <c r="B311" t="s">
        <v>15</v>
      </c>
      <c r="C311">
        <v>32</v>
      </c>
      <c r="D311" t="s">
        <v>23</v>
      </c>
      <c r="E311" t="s">
        <v>17</v>
      </c>
      <c r="F311">
        <v>660.3</v>
      </c>
      <c r="G311">
        <v>10</v>
      </c>
      <c r="H311">
        <v>3.8</v>
      </c>
      <c r="I311" t="b">
        <v>1</v>
      </c>
      <c r="J311">
        <v>39</v>
      </c>
      <c r="K311" t="s">
        <v>21</v>
      </c>
    </row>
    <row r="312" spans="1:11" x14ac:dyDescent="0.35">
      <c r="A312">
        <v>411</v>
      </c>
      <c r="B312" t="s">
        <v>11</v>
      </c>
      <c r="C312">
        <v>36</v>
      </c>
      <c r="D312" t="s">
        <v>24</v>
      </c>
      <c r="E312" t="s">
        <v>20</v>
      </c>
      <c r="F312">
        <v>440.5</v>
      </c>
      <c r="G312">
        <v>8</v>
      </c>
      <c r="H312">
        <v>3.1</v>
      </c>
      <c r="I312" t="b">
        <v>0</v>
      </c>
      <c r="J312">
        <v>24</v>
      </c>
      <c r="K312" t="s">
        <v>18</v>
      </c>
    </row>
    <row r="313" spans="1:11" x14ac:dyDescent="0.35">
      <c r="A313">
        <v>412</v>
      </c>
      <c r="B313" t="s">
        <v>11</v>
      </c>
      <c r="C313">
        <v>30</v>
      </c>
      <c r="D313" t="s">
        <v>12</v>
      </c>
      <c r="E313" t="s">
        <v>13</v>
      </c>
      <c r="F313">
        <v>1200.8</v>
      </c>
      <c r="G313">
        <v>16</v>
      </c>
      <c r="H313">
        <v>4.7</v>
      </c>
      <c r="I313" t="b">
        <v>1</v>
      </c>
      <c r="J313">
        <v>25</v>
      </c>
      <c r="K313" t="s">
        <v>14</v>
      </c>
    </row>
    <row r="314" spans="1:11" x14ac:dyDescent="0.35">
      <c r="A314">
        <v>413</v>
      </c>
      <c r="B314" t="s">
        <v>15</v>
      </c>
      <c r="C314">
        <v>34</v>
      </c>
      <c r="D314" t="s">
        <v>16</v>
      </c>
      <c r="E314" t="s">
        <v>17</v>
      </c>
      <c r="F314">
        <v>780.2</v>
      </c>
      <c r="G314">
        <v>11</v>
      </c>
      <c r="H314">
        <v>4.0999999999999996</v>
      </c>
      <c r="I314" t="b">
        <v>0</v>
      </c>
      <c r="J314">
        <v>17</v>
      </c>
      <c r="K314" t="s">
        <v>18</v>
      </c>
    </row>
    <row r="315" spans="1:11" x14ac:dyDescent="0.35">
      <c r="A315">
        <v>414</v>
      </c>
      <c r="B315" t="s">
        <v>11</v>
      </c>
      <c r="C315">
        <v>43</v>
      </c>
      <c r="D315" t="s">
        <v>19</v>
      </c>
      <c r="E315" t="s">
        <v>20</v>
      </c>
      <c r="F315">
        <v>505.75</v>
      </c>
      <c r="G315">
        <v>10</v>
      </c>
      <c r="H315">
        <v>3.3</v>
      </c>
      <c r="I315" t="b">
        <v>1</v>
      </c>
      <c r="J315">
        <v>46</v>
      </c>
      <c r="K315" t="s">
        <v>21</v>
      </c>
    </row>
    <row r="316" spans="1:11" x14ac:dyDescent="0.35">
      <c r="A316">
        <v>415</v>
      </c>
      <c r="B316" t="s">
        <v>15</v>
      </c>
      <c r="C316">
        <v>30</v>
      </c>
      <c r="D316" t="s">
        <v>22</v>
      </c>
      <c r="E316" t="s">
        <v>13</v>
      </c>
      <c r="F316">
        <v>1460.5</v>
      </c>
      <c r="G316">
        <v>20</v>
      </c>
      <c r="H316">
        <v>4.8</v>
      </c>
      <c r="I316" t="b">
        <v>0</v>
      </c>
      <c r="J316">
        <v>14</v>
      </c>
      <c r="K316" t="s">
        <v>14</v>
      </c>
    </row>
    <row r="317" spans="1:11" x14ac:dyDescent="0.35">
      <c r="A317">
        <v>416</v>
      </c>
      <c r="B317" t="s">
        <v>15</v>
      </c>
      <c r="C317">
        <v>27</v>
      </c>
      <c r="D317" t="s">
        <v>23</v>
      </c>
      <c r="E317" t="s">
        <v>17</v>
      </c>
      <c r="F317">
        <v>710.4</v>
      </c>
      <c r="G317">
        <v>13</v>
      </c>
      <c r="H317">
        <v>4.0999999999999996</v>
      </c>
      <c r="I317" t="b">
        <v>1</v>
      </c>
      <c r="J317">
        <v>61</v>
      </c>
      <c r="K317" t="s">
        <v>21</v>
      </c>
    </row>
    <row r="318" spans="1:11" x14ac:dyDescent="0.35">
      <c r="A318">
        <v>417</v>
      </c>
      <c r="B318" t="s">
        <v>11</v>
      </c>
      <c r="C318">
        <v>37</v>
      </c>
      <c r="D318" t="s">
        <v>24</v>
      </c>
      <c r="E318" t="s">
        <v>20</v>
      </c>
      <c r="F318">
        <v>450.8</v>
      </c>
      <c r="G318">
        <v>7</v>
      </c>
      <c r="H318">
        <v>3.4</v>
      </c>
      <c r="I318" t="b">
        <v>0</v>
      </c>
      <c r="J318">
        <v>30</v>
      </c>
      <c r="K318" t="s">
        <v>18</v>
      </c>
    </row>
    <row r="319" spans="1:11" x14ac:dyDescent="0.35">
      <c r="A319">
        <v>418</v>
      </c>
      <c r="B319" t="s">
        <v>11</v>
      </c>
      <c r="C319">
        <v>31</v>
      </c>
      <c r="D319" t="s">
        <v>12</v>
      </c>
      <c r="E319" t="s">
        <v>13</v>
      </c>
      <c r="F319">
        <v>1140.5999999999999</v>
      </c>
      <c r="G319">
        <v>15</v>
      </c>
      <c r="H319">
        <v>4.5</v>
      </c>
      <c r="I319" t="b">
        <v>1</v>
      </c>
      <c r="J319">
        <v>34</v>
      </c>
      <c r="K319" t="s">
        <v>14</v>
      </c>
    </row>
    <row r="320" spans="1:11" x14ac:dyDescent="0.35">
      <c r="A320">
        <v>419</v>
      </c>
      <c r="B320" t="s">
        <v>15</v>
      </c>
      <c r="C320">
        <v>35</v>
      </c>
      <c r="D320" t="s">
        <v>16</v>
      </c>
      <c r="E320" t="s">
        <v>17</v>
      </c>
      <c r="F320">
        <v>800.9</v>
      </c>
      <c r="G320">
        <v>12</v>
      </c>
      <c r="H320">
        <v>4.0999999999999996</v>
      </c>
      <c r="I320" t="b">
        <v>0</v>
      </c>
      <c r="J320">
        <v>19</v>
      </c>
      <c r="K320" t="s">
        <v>18</v>
      </c>
    </row>
    <row r="321" spans="1:11" x14ac:dyDescent="0.35">
      <c r="A321">
        <v>420</v>
      </c>
      <c r="B321" t="s">
        <v>11</v>
      </c>
      <c r="C321">
        <v>41</v>
      </c>
      <c r="D321" t="s">
        <v>19</v>
      </c>
      <c r="E321" t="s">
        <v>20</v>
      </c>
      <c r="F321">
        <v>475.25</v>
      </c>
      <c r="G321">
        <v>9</v>
      </c>
      <c r="H321">
        <v>3.6</v>
      </c>
      <c r="I321" t="b">
        <v>1</v>
      </c>
      <c r="J321">
        <v>46</v>
      </c>
      <c r="K321" t="s">
        <v>21</v>
      </c>
    </row>
    <row r="322" spans="1:11" x14ac:dyDescent="0.35">
      <c r="A322">
        <v>421</v>
      </c>
      <c r="B322" t="s">
        <v>15</v>
      </c>
      <c r="C322">
        <v>28</v>
      </c>
      <c r="D322" t="s">
        <v>22</v>
      </c>
      <c r="E322" t="s">
        <v>13</v>
      </c>
      <c r="F322">
        <v>1480.1</v>
      </c>
      <c r="G322">
        <v>21</v>
      </c>
      <c r="H322">
        <v>4.9000000000000004</v>
      </c>
      <c r="I322" t="b">
        <v>0</v>
      </c>
      <c r="J322">
        <v>12</v>
      </c>
      <c r="K322" t="s">
        <v>14</v>
      </c>
    </row>
    <row r="323" spans="1:11" x14ac:dyDescent="0.35">
      <c r="A323">
        <v>422</v>
      </c>
      <c r="B323" t="s">
        <v>15</v>
      </c>
      <c r="C323">
        <v>32</v>
      </c>
      <c r="D323" t="s">
        <v>23</v>
      </c>
      <c r="E323" t="s">
        <v>17</v>
      </c>
      <c r="F323">
        <v>660.3</v>
      </c>
      <c r="G323">
        <v>10</v>
      </c>
      <c r="H323">
        <v>3.8</v>
      </c>
      <c r="I323" t="b">
        <v>1</v>
      </c>
      <c r="J323">
        <v>40</v>
      </c>
      <c r="K323" t="s">
        <v>21</v>
      </c>
    </row>
    <row r="324" spans="1:11" x14ac:dyDescent="0.35">
      <c r="A324">
        <v>423</v>
      </c>
      <c r="B324" t="s">
        <v>11</v>
      </c>
      <c r="C324">
        <v>36</v>
      </c>
      <c r="D324" t="s">
        <v>24</v>
      </c>
      <c r="E324" t="s">
        <v>20</v>
      </c>
      <c r="F324">
        <v>470.5</v>
      </c>
      <c r="G324">
        <v>8</v>
      </c>
      <c r="H324">
        <v>3</v>
      </c>
      <c r="I324" t="b">
        <v>0</v>
      </c>
      <c r="J324">
        <v>26</v>
      </c>
      <c r="K324" t="s">
        <v>18</v>
      </c>
    </row>
    <row r="325" spans="1:11" x14ac:dyDescent="0.35">
      <c r="A325">
        <v>424</v>
      </c>
      <c r="B325" t="s">
        <v>11</v>
      </c>
      <c r="C325">
        <v>30</v>
      </c>
      <c r="D325" t="s">
        <v>12</v>
      </c>
      <c r="E325" t="s">
        <v>13</v>
      </c>
      <c r="F325">
        <v>1190.8</v>
      </c>
      <c r="G325">
        <v>16</v>
      </c>
      <c r="H325">
        <v>4.5</v>
      </c>
      <c r="I325" t="b">
        <v>1</v>
      </c>
      <c r="J325">
        <v>27</v>
      </c>
      <c r="K325" t="s">
        <v>14</v>
      </c>
    </row>
    <row r="326" spans="1:11" x14ac:dyDescent="0.35">
      <c r="A326">
        <v>425</v>
      </c>
      <c r="B326" t="s">
        <v>15</v>
      </c>
      <c r="C326">
        <v>34</v>
      </c>
      <c r="D326" t="s">
        <v>16</v>
      </c>
      <c r="E326" t="s">
        <v>17</v>
      </c>
      <c r="F326">
        <v>780.2</v>
      </c>
      <c r="G326">
        <v>11</v>
      </c>
      <c r="H326">
        <v>4.2</v>
      </c>
      <c r="I326" t="b">
        <v>0</v>
      </c>
      <c r="J326">
        <v>18</v>
      </c>
      <c r="K326" t="s">
        <v>18</v>
      </c>
    </row>
    <row r="327" spans="1:11" x14ac:dyDescent="0.35">
      <c r="A327">
        <v>426</v>
      </c>
      <c r="B327" t="s">
        <v>11</v>
      </c>
      <c r="C327">
        <v>43</v>
      </c>
      <c r="D327" t="s">
        <v>19</v>
      </c>
      <c r="E327" t="s">
        <v>20</v>
      </c>
      <c r="F327">
        <v>515.75</v>
      </c>
      <c r="G327">
        <v>10</v>
      </c>
      <c r="H327">
        <v>3.3</v>
      </c>
      <c r="I327" t="b">
        <v>1</v>
      </c>
      <c r="J327">
        <v>47</v>
      </c>
      <c r="K327" t="s">
        <v>21</v>
      </c>
    </row>
    <row r="328" spans="1:11" x14ac:dyDescent="0.35">
      <c r="A328">
        <v>427</v>
      </c>
      <c r="B328" t="s">
        <v>15</v>
      </c>
      <c r="C328">
        <v>30</v>
      </c>
      <c r="D328" t="s">
        <v>22</v>
      </c>
      <c r="E328" t="s">
        <v>13</v>
      </c>
      <c r="F328">
        <v>1450.5</v>
      </c>
      <c r="G328">
        <v>19</v>
      </c>
      <c r="H328">
        <v>4.5999999999999996</v>
      </c>
      <c r="I328" t="b">
        <v>0</v>
      </c>
      <c r="J328">
        <v>14</v>
      </c>
      <c r="K328" t="s">
        <v>14</v>
      </c>
    </row>
    <row r="329" spans="1:11" x14ac:dyDescent="0.35">
      <c r="A329">
        <v>428</v>
      </c>
      <c r="B329" t="s">
        <v>15</v>
      </c>
      <c r="C329">
        <v>27</v>
      </c>
      <c r="D329" t="s">
        <v>23</v>
      </c>
      <c r="E329" t="s">
        <v>17</v>
      </c>
      <c r="F329">
        <v>710.4</v>
      </c>
      <c r="G329">
        <v>13</v>
      </c>
      <c r="H329">
        <v>4.0999999999999996</v>
      </c>
      <c r="I329" t="b">
        <v>1</v>
      </c>
      <c r="J329">
        <v>62</v>
      </c>
      <c r="K329" t="s">
        <v>21</v>
      </c>
    </row>
    <row r="330" spans="1:11" x14ac:dyDescent="0.35">
      <c r="A330">
        <v>429</v>
      </c>
      <c r="B330" t="s">
        <v>11</v>
      </c>
      <c r="C330">
        <v>37</v>
      </c>
      <c r="D330" t="s">
        <v>24</v>
      </c>
      <c r="E330" t="s">
        <v>20</v>
      </c>
      <c r="F330">
        <v>430.8</v>
      </c>
      <c r="G330">
        <v>7</v>
      </c>
      <c r="H330">
        <v>3.4</v>
      </c>
      <c r="I330" t="b">
        <v>0</v>
      </c>
      <c r="J330">
        <v>31</v>
      </c>
      <c r="K330" t="s">
        <v>18</v>
      </c>
    </row>
    <row r="331" spans="1:11" x14ac:dyDescent="0.35">
      <c r="A331">
        <v>430</v>
      </c>
      <c r="B331" t="s">
        <v>11</v>
      </c>
      <c r="C331">
        <v>31</v>
      </c>
      <c r="D331" t="s">
        <v>12</v>
      </c>
      <c r="E331" t="s">
        <v>13</v>
      </c>
      <c r="F331">
        <v>1160.5999999999999</v>
      </c>
      <c r="G331">
        <v>15</v>
      </c>
      <c r="H331">
        <v>4.5</v>
      </c>
      <c r="I331" t="b">
        <v>1</v>
      </c>
      <c r="J331">
        <v>35</v>
      </c>
      <c r="K331" t="s">
        <v>14</v>
      </c>
    </row>
    <row r="332" spans="1:11" x14ac:dyDescent="0.35">
      <c r="A332">
        <v>431</v>
      </c>
      <c r="B332" t="s">
        <v>15</v>
      </c>
      <c r="C332">
        <v>35</v>
      </c>
      <c r="D332" t="s">
        <v>16</v>
      </c>
      <c r="E332" t="s">
        <v>17</v>
      </c>
      <c r="F332">
        <v>820.9</v>
      </c>
      <c r="G332">
        <v>12</v>
      </c>
      <c r="H332">
        <v>4.3</v>
      </c>
      <c r="I332" t="b">
        <v>0</v>
      </c>
      <c r="J332">
        <v>20</v>
      </c>
      <c r="K332" t="s">
        <v>18</v>
      </c>
    </row>
    <row r="333" spans="1:11" x14ac:dyDescent="0.35">
      <c r="A333">
        <v>432</v>
      </c>
      <c r="B333" t="s">
        <v>11</v>
      </c>
      <c r="C333">
        <v>41</v>
      </c>
      <c r="D333" t="s">
        <v>19</v>
      </c>
      <c r="E333" t="s">
        <v>20</v>
      </c>
      <c r="F333">
        <v>495.25</v>
      </c>
      <c r="G333">
        <v>9</v>
      </c>
      <c r="H333">
        <v>3.6</v>
      </c>
      <c r="I333" t="b">
        <v>1</v>
      </c>
      <c r="J333">
        <v>47</v>
      </c>
      <c r="K333" t="s">
        <v>21</v>
      </c>
    </row>
    <row r="334" spans="1:11" x14ac:dyDescent="0.35">
      <c r="A334">
        <v>433</v>
      </c>
      <c r="B334" t="s">
        <v>15</v>
      </c>
      <c r="C334">
        <v>28</v>
      </c>
      <c r="D334" t="s">
        <v>22</v>
      </c>
      <c r="E334" t="s">
        <v>13</v>
      </c>
      <c r="F334">
        <v>1490.1</v>
      </c>
      <c r="G334">
        <v>21</v>
      </c>
      <c r="H334">
        <v>4.9000000000000004</v>
      </c>
      <c r="I334" t="b">
        <v>0</v>
      </c>
      <c r="J334">
        <v>11</v>
      </c>
      <c r="K334" t="s">
        <v>14</v>
      </c>
    </row>
    <row r="335" spans="1:11" x14ac:dyDescent="0.35">
      <c r="A335">
        <v>434</v>
      </c>
      <c r="B335" t="s">
        <v>15</v>
      </c>
      <c r="C335">
        <v>32</v>
      </c>
      <c r="D335" t="s">
        <v>23</v>
      </c>
      <c r="E335" t="s">
        <v>17</v>
      </c>
      <c r="F335">
        <v>660.3</v>
      </c>
      <c r="G335">
        <v>10</v>
      </c>
      <c r="H335">
        <v>3.8</v>
      </c>
      <c r="I335" t="b">
        <v>1</v>
      </c>
      <c r="J335">
        <v>41</v>
      </c>
      <c r="K335" t="s">
        <v>21</v>
      </c>
    </row>
    <row r="336" spans="1:11" x14ac:dyDescent="0.35">
      <c r="A336">
        <v>435</v>
      </c>
      <c r="B336" t="s">
        <v>11</v>
      </c>
      <c r="C336">
        <v>36</v>
      </c>
      <c r="D336" t="s">
        <v>24</v>
      </c>
      <c r="E336" t="s">
        <v>20</v>
      </c>
      <c r="F336">
        <v>440.5</v>
      </c>
      <c r="G336">
        <v>8</v>
      </c>
      <c r="H336">
        <v>3.1</v>
      </c>
      <c r="I336" t="b">
        <v>0</v>
      </c>
      <c r="J336">
        <v>28</v>
      </c>
      <c r="K336" t="s">
        <v>18</v>
      </c>
    </row>
    <row r="337" spans="1:11" x14ac:dyDescent="0.35">
      <c r="A337">
        <v>436</v>
      </c>
      <c r="B337" t="s">
        <v>11</v>
      </c>
      <c r="C337">
        <v>30</v>
      </c>
      <c r="D337" t="s">
        <v>12</v>
      </c>
      <c r="E337" t="s">
        <v>13</v>
      </c>
      <c r="F337">
        <v>1200.8</v>
      </c>
      <c r="G337">
        <v>16</v>
      </c>
      <c r="H337">
        <v>4.7</v>
      </c>
      <c r="I337" t="b">
        <v>1</v>
      </c>
      <c r="J337">
        <v>28</v>
      </c>
      <c r="K337" t="s">
        <v>14</v>
      </c>
    </row>
    <row r="338" spans="1:11" x14ac:dyDescent="0.35">
      <c r="A338">
        <v>437</v>
      </c>
      <c r="B338" t="s">
        <v>15</v>
      </c>
      <c r="C338">
        <v>34</v>
      </c>
      <c r="D338" t="s">
        <v>16</v>
      </c>
      <c r="E338" t="s">
        <v>17</v>
      </c>
      <c r="F338">
        <v>780.2</v>
      </c>
      <c r="G338">
        <v>11</v>
      </c>
      <c r="H338">
        <v>4.0999999999999996</v>
      </c>
      <c r="I338" t="b">
        <v>0</v>
      </c>
      <c r="J338">
        <v>19</v>
      </c>
      <c r="K338" t="s">
        <v>18</v>
      </c>
    </row>
    <row r="339" spans="1:11" x14ac:dyDescent="0.35">
      <c r="A339">
        <v>438</v>
      </c>
      <c r="B339" t="s">
        <v>11</v>
      </c>
      <c r="C339">
        <v>43</v>
      </c>
      <c r="D339" t="s">
        <v>19</v>
      </c>
      <c r="E339" t="s">
        <v>20</v>
      </c>
      <c r="F339">
        <v>505.75</v>
      </c>
      <c r="G339">
        <v>10</v>
      </c>
      <c r="H339">
        <v>3.3</v>
      </c>
      <c r="I339" t="b">
        <v>1</v>
      </c>
      <c r="J339">
        <v>48</v>
      </c>
      <c r="K339" t="s">
        <v>21</v>
      </c>
    </row>
    <row r="340" spans="1:11" x14ac:dyDescent="0.35">
      <c r="A340">
        <v>439</v>
      </c>
      <c r="B340" t="s">
        <v>15</v>
      </c>
      <c r="C340">
        <v>30</v>
      </c>
      <c r="D340" t="s">
        <v>22</v>
      </c>
      <c r="E340" t="s">
        <v>13</v>
      </c>
      <c r="F340">
        <v>1460.5</v>
      </c>
      <c r="G340">
        <v>20</v>
      </c>
      <c r="H340">
        <v>4.8</v>
      </c>
      <c r="I340" t="b">
        <v>0</v>
      </c>
      <c r="J340">
        <v>15</v>
      </c>
      <c r="K340" t="s">
        <v>14</v>
      </c>
    </row>
    <row r="341" spans="1:11" x14ac:dyDescent="0.35">
      <c r="A341">
        <v>440</v>
      </c>
      <c r="B341" t="s">
        <v>15</v>
      </c>
      <c r="C341">
        <v>27</v>
      </c>
      <c r="D341" t="s">
        <v>23</v>
      </c>
      <c r="E341" t="s">
        <v>17</v>
      </c>
      <c r="F341">
        <v>710.4</v>
      </c>
      <c r="G341">
        <v>13</v>
      </c>
      <c r="H341">
        <v>4.0999999999999996</v>
      </c>
      <c r="I341" t="b">
        <v>1</v>
      </c>
      <c r="J341">
        <v>63</v>
      </c>
      <c r="K341" t="s">
        <v>21</v>
      </c>
    </row>
    <row r="342" spans="1:11" x14ac:dyDescent="0.35">
      <c r="A342">
        <v>441</v>
      </c>
      <c r="B342" t="s">
        <v>11</v>
      </c>
      <c r="C342">
        <v>37</v>
      </c>
      <c r="D342" t="s">
        <v>24</v>
      </c>
      <c r="E342" t="s">
        <v>20</v>
      </c>
      <c r="F342">
        <v>450.8</v>
      </c>
      <c r="G342">
        <v>7</v>
      </c>
      <c r="H342">
        <v>3.4</v>
      </c>
      <c r="I342" t="b">
        <v>0</v>
      </c>
      <c r="J342">
        <v>32</v>
      </c>
      <c r="K342" t="s">
        <v>18</v>
      </c>
    </row>
    <row r="343" spans="1:11" x14ac:dyDescent="0.35">
      <c r="A343">
        <v>442</v>
      </c>
      <c r="B343" t="s">
        <v>11</v>
      </c>
      <c r="C343">
        <v>31</v>
      </c>
      <c r="D343" t="s">
        <v>12</v>
      </c>
      <c r="E343" t="s">
        <v>13</v>
      </c>
      <c r="F343">
        <v>1140.5999999999999</v>
      </c>
      <c r="G343">
        <v>15</v>
      </c>
      <c r="H343">
        <v>4.5</v>
      </c>
      <c r="I343" t="b">
        <v>1</v>
      </c>
      <c r="J343">
        <v>36</v>
      </c>
      <c r="K343" t="s">
        <v>14</v>
      </c>
    </row>
    <row r="344" spans="1:11" x14ac:dyDescent="0.35">
      <c r="A344">
        <v>443</v>
      </c>
      <c r="B344" t="s">
        <v>15</v>
      </c>
      <c r="C344">
        <v>35</v>
      </c>
      <c r="D344" t="s">
        <v>16</v>
      </c>
      <c r="E344" t="s">
        <v>17</v>
      </c>
      <c r="F344">
        <v>800.9</v>
      </c>
      <c r="G344">
        <v>12</v>
      </c>
      <c r="H344">
        <v>4.0999999999999996</v>
      </c>
      <c r="I344" t="b">
        <v>0</v>
      </c>
      <c r="J344">
        <v>20</v>
      </c>
      <c r="K344" t="s">
        <v>18</v>
      </c>
    </row>
    <row r="345" spans="1:11" x14ac:dyDescent="0.35">
      <c r="A345">
        <v>444</v>
      </c>
      <c r="B345" t="s">
        <v>11</v>
      </c>
      <c r="C345">
        <v>41</v>
      </c>
      <c r="D345" t="s">
        <v>19</v>
      </c>
      <c r="E345" t="s">
        <v>20</v>
      </c>
      <c r="F345">
        <v>475.25</v>
      </c>
      <c r="G345">
        <v>9</v>
      </c>
      <c r="H345">
        <v>3.6</v>
      </c>
      <c r="I345" t="b">
        <v>1</v>
      </c>
      <c r="J345">
        <v>48</v>
      </c>
      <c r="K345" t="s">
        <v>21</v>
      </c>
    </row>
    <row r="346" spans="1:11" x14ac:dyDescent="0.35">
      <c r="A346">
        <v>445</v>
      </c>
      <c r="B346" t="s">
        <v>15</v>
      </c>
      <c r="C346">
        <v>28</v>
      </c>
      <c r="D346" t="s">
        <v>22</v>
      </c>
      <c r="E346" t="s">
        <v>13</v>
      </c>
      <c r="F346">
        <v>1480.1</v>
      </c>
      <c r="G346">
        <v>21</v>
      </c>
      <c r="H346">
        <v>4.9000000000000004</v>
      </c>
      <c r="I346" t="b">
        <v>0</v>
      </c>
      <c r="J346">
        <v>13</v>
      </c>
      <c r="K346" t="s">
        <v>14</v>
      </c>
    </row>
    <row r="347" spans="1:11" x14ac:dyDescent="0.35">
      <c r="A347">
        <v>446</v>
      </c>
      <c r="B347" t="s">
        <v>15</v>
      </c>
      <c r="C347">
        <v>32</v>
      </c>
      <c r="D347" t="s">
        <v>23</v>
      </c>
      <c r="E347" t="s">
        <v>17</v>
      </c>
      <c r="F347">
        <v>660.3</v>
      </c>
      <c r="G347">
        <v>10</v>
      </c>
      <c r="H347">
        <v>3.8</v>
      </c>
      <c r="I347" t="b">
        <v>1</v>
      </c>
      <c r="J347">
        <v>42</v>
      </c>
      <c r="K347" t="s">
        <v>21</v>
      </c>
    </row>
    <row r="348" spans="1:11" x14ac:dyDescent="0.35">
      <c r="A348">
        <v>447</v>
      </c>
      <c r="B348" t="s">
        <v>11</v>
      </c>
      <c r="C348">
        <v>36</v>
      </c>
      <c r="D348" t="s">
        <v>24</v>
      </c>
      <c r="E348" t="s">
        <v>20</v>
      </c>
      <c r="F348">
        <v>470.5</v>
      </c>
      <c r="G348">
        <v>8</v>
      </c>
      <c r="H348">
        <v>3</v>
      </c>
      <c r="I348" t="b">
        <v>0</v>
      </c>
      <c r="J348">
        <v>27</v>
      </c>
      <c r="K348" t="s">
        <v>18</v>
      </c>
    </row>
    <row r="349" spans="1:11" x14ac:dyDescent="0.35">
      <c r="A349">
        <v>448</v>
      </c>
      <c r="B349" t="s">
        <v>11</v>
      </c>
      <c r="C349">
        <v>30</v>
      </c>
      <c r="D349" t="s">
        <v>12</v>
      </c>
      <c r="E349" t="s">
        <v>13</v>
      </c>
      <c r="F349">
        <v>1190.8</v>
      </c>
      <c r="G349">
        <v>16</v>
      </c>
      <c r="H349">
        <v>4.5</v>
      </c>
      <c r="I349" t="b">
        <v>1</v>
      </c>
      <c r="J349">
        <v>28</v>
      </c>
      <c r="K349" t="s">
        <v>14</v>
      </c>
    </row>
    <row r="350" spans="1:11" x14ac:dyDescent="0.35">
      <c r="A350">
        <v>449</v>
      </c>
      <c r="B350" t="s">
        <v>15</v>
      </c>
      <c r="C350">
        <v>34</v>
      </c>
      <c r="D350" t="s">
        <v>16</v>
      </c>
      <c r="E350" t="s">
        <v>17</v>
      </c>
      <c r="F350">
        <v>780.2</v>
      </c>
      <c r="G350">
        <v>11</v>
      </c>
      <c r="H350">
        <v>4.2</v>
      </c>
      <c r="I350" t="b">
        <v>0</v>
      </c>
      <c r="J350">
        <v>21</v>
      </c>
      <c r="K350" t="s">
        <v>18</v>
      </c>
    </row>
    <row r="351" spans="1:11" x14ac:dyDescent="0.35">
      <c r="A351">
        <v>450</v>
      </c>
      <c r="B351" t="s">
        <v>11</v>
      </c>
      <c r="C351">
        <v>43</v>
      </c>
      <c r="D351" t="s">
        <v>19</v>
      </c>
      <c r="E351" t="s">
        <v>20</v>
      </c>
      <c r="F351">
        <v>515.75</v>
      </c>
      <c r="G351">
        <v>10</v>
      </c>
      <c r="H351">
        <v>3.3</v>
      </c>
      <c r="I351" t="b">
        <v>1</v>
      </c>
      <c r="J351">
        <v>49</v>
      </c>
      <c r="K351"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B3FE-DAF6-4E8E-8656-57ED26BF8FD7}">
  <dimension ref="A1:M351"/>
  <sheetViews>
    <sheetView topLeftCell="F1" workbookViewId="0">
      <selection activeCell="F303" sqref="F303"/>
    </sheetView>
  </sheetViews>
  <sheetFormatPr defaultRowHeight="14.5" x14ac:dyDescent="0.35"/>
  <cols>
    <col min="1" max="1" width="13.26953125" customWidth="1"/>
    <col min="2" max="2" width="9" customWidth="1"/>
    <col min="5" max="5" width="17.90625" customWidth="1"/>
    <col min="6" max="6" width="12.7265625" style="2" customWidth="1"/>
    <col min="7" max="7" width="16.7265625" customWidth="1"/>
    <col min="8" max="8" width="15.26953125" customWidth="1"/>
    <col min="9" max="9" width="17" customWidth="1"/>
    <col min="10" max="10" width="23.453125" style="12" customWidth="1"/>
    <col min="11" max="11" width="17.1796875" customWidth="1"/>
    <col min="12" max="12" width="22.08984375" style="12" customWidth="1"/>
    <col min="13" max="13" width="12.7265625" customWidth="1"/>
  </cols>
  <sheetData>
    <row r="1" spans="1:13" x14ac:dyDescent="0.35">
      <c r="A1" t="s">
        <v>0</v>
      </c>
      <c r="B1" t="s">
        <v>1</v>
      </c>
      <c r="C1" t="s">
        <v>2</v>
      </c>
      <c r="D1" t="s">
        <v>3</v>
      </c>
      <c r="E1" t="s">
        <v>4</v>
      </c>
      <c r="F1" s="2" t="s">
        <v>5</v>
      </c>
      <c r="G1" t="s">
        <v>6</v>
      </c>
      <c r="H1" t="s">
        <v>7</v>
      </c>
      <c r="I1" t="s">
        <v>8</v>
      </c>
      <c r="J1" s="12" t="s">
        <v>9</v>
      </c>
      <c r="K1" t="s">
        <v>10</v>
      </c>
      <c r="L1" s="12" t="s">
        <v>49</v>
      </c>
      <c r="M1" t="s">
        <v>52</v>
      </c>
    </row>
    <row r="2" spans="1:13" x14ac:dyDescent="0.35">
      <c r="A2">
        <v>101</v>
      </c>
      <c r="B2" t="s">
        <v>11</v>
      </c>
      <c r="C2">
        <v>29</v>
      </c>
      <c r="D2" t="s">
        <v>12</v>
      </c>
      <c r="E2" t="s">
        <v>13</v>
      </c>
      <c r="F2" s="2">
        <v>1120.2</v>
      </c>
      <c r="G2">
        <v>14</v>
      </c>
      <c r="H2">
        <v>4.5999999999999996</v>
      </c>
      <c r="I2" t="b">
        <v>1</v>
      </c>
      <c r="J2" s="12">
        <v>25</v>
      </c>
      <c r="K2" t="s">
        <v>14</v>
      </c>
      <c r="L2" s="12" t="str">
        <f t="shared" ref="L2:L65" si="0">_xlfn.IFS(J2&lt;=7,"1-week",J2&lt;=14,"2-weeks", J2&lt;=21,"3-weeks",J2&lt;=28,"4-weeks",J2&lt;=35,"5-weeks",J2&lt;=42,"6-weeks",J2&lt;=49,"7-weeks",J2&lt;=56,"8-weeks",J2&lt;=63,"9-weeks")</f>
        <v>4-weeks</v>
      </c>
      <c r="M2" t="str">
        <f t="shared" ref="M2:M65" si="1">IF(J2&gt;28, "At Risk", "No Risk")</f>
        <v>No Risk</v>
      </c>
    </row>
    <row r="3" spans="1:13" x14ac:dyDescent="0.35">
      <c r="A3">
        <v>102</v>
      </c>
      <c r="B3" t="s">
        <v>15</v>
      </c>
      <c r="C3">
        <v>34</v>
      </c>
      <c r="D3" t="s">
        <v>16</v>
      </c>
      <c r="E3" t="s">
        <v>17</v>
      </c>
      <c r="F3" s="2">
        <v>780.5</v>
      </c>
      <c r="G3">
        <v>11</v>
      </c>
      <c r="H3">
        <v>4.0999999999999996</v>
      </c>
      <c r="I3" t="b">
        <v>0</v>
      </c>
      <c r="J3" s="12">
        <v>18</v>
      </c>
      <c r="K3" t="s">
        <v>18</v>
      </c>
      <c r="L3" s="12" t="str">
        <f t="shared" si="0"/>
        <v>3-weeks</v>
      </c>
      <c r="M3" t="str">
        <f t="shared" si="1"/>
        <v>No Risk</v>
      </c>
    </row>
    <row r="4" spans="1:13" x14ac:dyDescent="0.35">
      <c r="A4">
        <v>103</v>
      </c>
      <c r="B4" t="s">
        <v>11</v>
      </c>
      <c r="C4">
        <v>43</v>
      </c>
      <c r="D4" t="s">
        <v>19</v>
      </c>
      <c r="E4" t="s">
        <v>20</v>
      </c>
      <c r="F4" s="2">
        <v>510.75</v>
      </c>
      <c r="G4">
        <v>9</v>
      </c>
      <c r="H4">
        <v>3.4</v>
      </c>
      <c r="I4" t="b">
        <v>1</v>
      </c>
      <c r="J4" s="12">
        <v>42</v>
      </c>
      <c r="K4" t="s">
        <v>21</v>
      </c>
      <c r="L4" s="12" t="str">
        <f t="shared" si="0"/>
        <v>6-weeks</v>
      </c>
      <c r="M4" t="str">
        <f t="shared" si="1"/>
        <v>At Risk</v>
      </c>
    </row>
    <row r="5" spans="1:13" x14ac:dyDescent="0.35">
      <c r="A5">
        <v>104</v>
      </c>
      <c r="B5" t="s">
        <v>15</v>
      </c>
      <c r="C5">
        <v>30</v>
      </c>
      <c r="D5" t="s">
        <v>22</v>
      </c>
      <c r="E5" t="s">
        <v>13</v>
      </c>
      <c r="F5" s="2">
        <v>1480.3</v>
      </c>
      <c r="G5">
        <v>19</v>
      </c>
      <c r="H5">
        <v>4.7</v>
      </c>
      <c r="I5" t="b">
        <v>0</v>
      </c>
      <c r="J5" s="12">
        <v>12</v>
      </c>
      <c r="K5" t="s">
        <v>14</v>
      </c>
      <c r="L5" s="12" t="str">
        <f t="shared" si="0"/>
        <v>2-weeks</v>
      </c>
      <c r="M5" t="str">
        <f t="shared" si="1"/>
        <v>No Risk</v>
      </c>
    </row>
    <row r="6" spans="1:13" x14ac:dyDescent="0.35">
      <c r="A6">
        <v>105</v>
      </c>
      <c r="B6" t="s">
        <v>15</v>
      </c>
      <c r="C6">
        <v>27</v>
      </c>
      <c r="D6" t="s">
        <v>23</v>
      </c>
      <c r="E6" t="s">
        <v>17</v>
      </c>
      <c r="F6" s="2">
        <v>720.4</v>
      </c>
      <c r="G6">
        <v>13</v>
      </c>
      <c r="H6">
        <v>4</v>
      </c>
      <c r="I6" t="b">
        <v>1</v>
      </c>
      <c r="J6" s="12">
        <v>55</v>
      </c>
      <c r="K6" t="s">
        <v>21</v>
      </c>
      <c r="L6" s="12" t="str">
        <f t="shared" si="0"/>
        <v>8-weeks</v>
      </c>
      <c r="M6" t="str">
        <f t="shared" si="1"/>
        <v>At Risk</v>
      </c>
    </row>
    <row r="7" spans="1:13" x14ac:dyDescent="0.35">
      <c r="A7">
        <v>106</v>
      </c>
      <c r="B7" t="s">
        <v>11</v>
      </c>
      <c r="C7">
        <v>37</v>
      </c>
      <c r="D7" t="s">
        <v>24</v>
      </c>
      <c r="E7" t="s">
        <v>20</v>
      </c>
      <c r="F7" s="2">
        <v>440.8</v>
      </c>
      <c r="G7">
        <v>8</v>
      </c>
      <c r="H7">
        <v>3.1</v>
      </c>
      <c r="I7" t="b">
        <v>0</v>
      </c>
      <c r="J7" s="12">
        <v>22</v>
      </c>
      <c r="K7" t="s">
        <v>18</v>
      </c>
      <c r="L7" s="12" t="str">
        <f t="shared" si="0"/>
        <v>4-weeks</v>
      </c>
      <c r="M7" t="str">
        <f t="shared" si="1"/>
        <v>No Risk</v>
      </c>
    </row>
    <row r="8" spans="1:13" x14ac:dyDescent="0.35">
      <c r="A8">
        <v>107</v>
      </c>
      <c r="B8" t="s">
        <v>11</v>
      </c>
      <c r="C8">
        <v>31</v>
      </c>
      <c r="D8" t="s">
        <v>12</v>
      </c>
      <c r="E8" t="s">
        <v>13</v>
      </c>
      <c r="F8" s="2">
        <v>1150.5999999999999</v>
      </c>
      <c r="G8">
        <v>15</v>
      </c>
      <c r="H8">
        <v>4.5</v>
      </c>
      <c r="I8" t="b">
        <v>1</v>
      </c>
      <c r="J8" s="12">
        <v>28</v>
      </c>
      <c r="K8" t="s">
        <v>14</v>
      </c>
      <c r="L8" s="12" t="str">
        <f t="shared" si="0"/>
        <v>4-weeks</v>
      </c>
      <c r="M8" t="str">
        <f t="shared" si="1"/>
        <v>No Risk</v>
      </c>
    </row>
    <row r="9" spans="1:13" x14ac:dyDescent="0.35">
      <c r="A9">
        <v>108</v>
      </c>
      <c r="B9" t="s">
        <v>15</v>
      </c>
      <c r="C9">
        <v>35</v>
      </c>
      <c r="D9" t="s">
        <v>16</v>
      </c>
      <c r="E9" t="s">
        <v>17</v>
      </c>
      <c r="F9" s="2">
        <v>800.9</v>
      </c>
      <c r="G9">
        <v>12</v>
      </c>
      <c r="H9">
        <v>4.2</v>
      </c>
      <c r="I9" t="b">
        <v>0</v>
      </c>
      <c r="J9" s="12">
        <v>14</v>
      </c>
      <c r="K9" t="s">
        <v>18</v>
      </c>
      <c r="L9" s="12" t="str">
        <f t="shared" si="0"/>
        <v>2-weeks</v>
      </c>
      <c r="M9" t="str">
        <f t="shared" si="1"/>
        <v>No Risk</v>
      </c>
    </row>
    <row r="10" spans="1:13" x14ac:dyDescent="0.35">
      <c r="A10">
        <v>109</v>
      </c>
      <c r="B10" t="s">
        <v>11</v>
      </c>
      <c r="C10">
        <v>41</v>
      </c>
      <c r="D10" t="s">
        <v>19</v>
      </c>
      <c r="E10" t="s">
        <v>20</v>
      </c>
      <c r="F10" s="2">
        <v>495.25</v>
      </c>
      <c r="G10">
        <v>10</v>
      </c>
      <c r="H10">
        <v>3.6</v>
      </c>
      <c r="I10" t="b">
        <v>1</v>
      </c>
      <c r="J10" s="12">
        <v>40</v>
      </c>
      <c r="K10" t="s">
        <v>21</v>
      </c>
      <c r="L10" s="12" t="str">
        <f t="shared" si="0"/>
        <v>6-weeks</v>
      </c>
      <c r="M10" t="str">
        <f t="shared" si="1"/>
        <v>At Risk</v>
      </c>
    </row>
    <row r="11" spans="1:13" x14ac:dyDescent="0.35">
      <c r="A11">
        <v>110</v>
      </c>
      <c r="B11" t="s">
        <v>15</v>
      </c>
      <c r="C11">
        <v>28</v>
      </c>
      <c r="D11" t="s">
        <v>22</v>
      </c>
      <c r="E11" t="s">
        <v>13</v>
      </c>
      <c r="F11" s="2">
        <v>1520.1</v>
      </c>
      <c r="G11">
        <v>21</v>
      </c>
      <c r="H11">
        <v>4.8</v>
      </c>
      <c r="I11" t="b">
        <v>0</v>
      </c>
      <c r="J11" s="12">
        <v>9</v>
      </c>
      <c r="K11" t="s">
        <v>14</v>
      </c>
      <c r="L11" s="12" t="str">
        <f t="shared" si="0"/>
        <v>2-weeks</v>
      </c>
      <c r="M11" t="str">
        <f t="shared" si="1"/>
        <v>No Risk</v>
      </c>
    </row>
    <row r="12" spans="1:13" x14ac:dyDescent="0.35">
      <c r="A12">
        <v>111</v>
      </c>
      <c r="B12" t="s">
        <v>15</v>
      </c>
      <c r="C12">
        <v>32</v>
      </c>
      <c r="D12" t="s">
        <v>23</v>
      </c>
      <c r="E12" t="s">
        <v>17</v>
      </c>
      <c r="F12" s="2">
        <v>690.3</v>
      </c>
      <c r="G12">
        <v>11</v>
      </c>
      <c r="H12">
        <v>3.8</v>
      </c>
      <c r="I12" t="b">
        <v>1</v>
      </c>
      <c r="J12" s="12">
        <v>34</v>
      </c>
      <c r="K12" t="s">
        <v>21</v>
      </c>
      <c r="L12" s="12" t="str">
        <f t="shared" si="0"/>
        <v>5-weeks</v>
      </c>
      <c r="M12" t="str">
        <f t="shared" si="1"/>
        <v>At Risk</v>
      </c>
    </row>
    <row r="13" spans="1:13" x14ac:dyDescent="0.35">
      <c r="A13">
        <v>112</v>
      </c>
      <c r="B13" t="s">
        <v>11</v>
      </c>
      <c r="C13">
        <v>36</v>
      </c>
      <c r="D13" t="s">
        <v>24</v>
      </c>
      <c r="E13" t="s">
        <v>20</v>
      </c>
      <c r="F13" s="2">
        <v>470.5</v>
      </c>
      <c r="G13">
        <v>7</v>
      </c>
      <c r="H13">
        <v>3.2</v>
      </c>
      <c r="I13" t="b">
        <v>0</v>
      </c>
      <c r="J13" s="12">
        <v>20</v>
      </c>
      <c r="K13" t="s">
        <v>18</v>
      </c>
      <c r="L13" s="12" t="str">
        <f t="shared" si="0"/>
        <v>3-weeks</v>
      </c>
      <c r="M13" t="str">
        <f t="shared" si="1"/>
        <v>No Risk</v>
      </c>
    </row>
    <row r="14" spans="1:13" x14ac:dyDescent="0.35">
      <c r="A14">
        <v>113</v>
      </c>
      <c r="B14" t="s">
        <v>11</v>
      </c>
      <c r="C14">
        <v>30</v>
      </c>
      <c r="D14" t="s">
        <v>12</v>
      </c>
      <c r="E14" t="s">
        <v>13</v>
      </c>
      <c r="F14" s="2">
        <v>1200.8</v>
      </c>
      <c r="G14">
        <v>16</v>
      </c>
      <c r="H14">
        <v>4.3</v>
      </c>
      <c r="I14" t="b">
        <v>1</v>
      </c>
      <c r="J14" s="12">
        <v>21</v>
      </c>
      <c r="K14" t="s">
        <v>14</v>
      </c>
      <c r="L14" s="12" t="str">
        <f t="shared" si="0"/>
        <v>3-weeks</v>
      </c>
      <c r="M14" t="str">
        <f t="shared" si="1"/>
        <v>No Risk</v>
      </c>
    </row>
    <row r="15" spans="1:13" x14ac:dyDescent="0.35">
      <c r="A15">
        <v>114</v>
      </c>
      <c r="B15" t="s">
        <v>15</v>
      </c>
      <c r="C15">
        <v>33</v>
      </c>
      <c r="D15" t="s">
        <v>16</v>
      </c>
      <c r="E15" t="s">
        <v>17</v>
      </c>
      <c r="F15" s="2">
        <v>820.75</v>
      </c>
      <c r="G15">
        <v>13</v>
      </c>
      <c r="H15">
        <v>4.4000000000000004</v>
      </c>
      <c r="I15" t="b">
        <v>0</v>
      </c>
      <c r="J15" s="12">
        <v>15</v>
      </c>
      <c r="K15" t="s">
        <v>14</v>
      </c>
      <c r="L15" s="12" t="str">
        <f t="shared" si="0"/>
        <v>3-weeks</v>
      </c>
      <c r="M15" t="str">
        <f t="shared" si="1"/>
        <v>No Risk</v>
      </c>
    </row>
    <row r="16" spans="1:13" x14ac:dyDescent="0.35">
      <c r="A16">
        <v>115</v>
      </c>
      <c r="B16" t="s">
        <v>11</v>
      </c>
      <c r="C16">
        <v>42</v>
      </c>
      <c r="D16" t="s">
        <v>19</v>
      </c>
      <c r="E16" t="s">
        <v>20</v>
      </c>
      <c r="F16" s="2">
        <v>530.4</v>
      </c>
      <c r="G16">
        <v>9</v>
      </c>
      <c r="H16">
        <v>3.5</v>
      </c>
      <c r="I16" t="b">
        <v>1</v>
      </c>
      <c r="J16" s="12">
        <v>38</v>
      </c>
      <c r="K16" t="s">
        <v>21</v>
      </c>
      <c r="L16" s="12" t="str">
        <f t="shared" si="0"/>
        <v>6-weeks</v>
      </c>
      <c r="M16" t="str">
        <f t="shared" si="1"/>
        <v>At Risk</v>
      </c>
    </row>
    <row r="17" spans="1:13" x14ac:dyDescent="0.35">
      <c r="A17">
        <v>116</v>
      </c>
      <c r="B17" t="s">
        <v>15</v>
      </c>
      <c r="C17">
        <v>29</v>
      </c>
      <c r="D17" t="s">
        <v>22</v>
      </c>
      <c r="E17" t="s">
        <v>13</v>
      </c>
      <c r="F17" s="2">
        <v>1360.2</v>
      </c>
      <c r="G17">
        <v>18</v>
      </c>
      <c r="H17">
        <v>4.9000000000000004</v>
      </c>
      <c r="I17" t="b">
        <v>0</v>
      </c>
      <c r="J17" s="12">
        <v>11</v>
      </c>
      <c r="K17" t="s">
        <v>14</v>
      </c>
      <c r="L17" s="12" t="str">
        <f t="shared" si="0"/>
        <v>2-weeks</v>
      </c>
      <c r="M17" t="str">
        <f t="shared" si="1"/>
        <v>No Risk</v>
      </c>
    </row>
    <row r="18" spans="1:13" x14ac:dyDescent="0.35">
      <c r="A18">
        <v>117</v>
      </c>
      <c r="B18" t="s">
        <v>15</v>
      </c>
      <c r="C18">
        <v>26</v>
      </c>
      <c r="D18" t="s">
        <v>23</v>
      </c>
      <c r="E18" t="s">
        <v>17</v>
      </c>
      <c r="F18" s="2">
        <v>700.6</v>
      </c>
      <c r="G18">
        <v>12</v>
      </c>
      <c r="H18">
        <v>3.7</v>
      </c>
      <c r="I18" t="b">
        <v>1</v>
      </c>
      <c r="J18" s="12">
        <v>48</v>
      </c>
      <c r="K18" t="s">
        <v>21</v>
      </c>
      <c r="L18" s="12" t="str">
        <f t="shared" si="0"/>
        <v>7-weeks</v>
      </c>
      <c r="M18" t="str">
        <f t="shared" si="1"/>
        <v>At Risk</v>
      </c>
    </row>
    <row r="19" spans="1:13" x14ac:dyDescent="0.35">
      <c r="A19">
        <v>118</v>
      </c>
      <c r="B19" t="s">
        <v>11</v>
      </c>
      <c r="C19">
        <v>38</v>
      </c>
      <c r="D19" t="s">
        <v>24</v>
      </c>
      <c r="E19" t="s">
        <v>20</v>
      </c>
      <c r="F19" s="2">
        <v>450.9</v>
      </c>
      <c r="G19">
        <v>8</v>
      </c>
      <c r="H19">
        <v>3</v>
      </c>
      <c r="I19" t="b">
        <v>0</v>
      </c>
      <c r="J19" s="12">
        <v>25</v>
      </c>
      <c r="K19" t="s">
        <v>18</v>
      </c>
      <c r="L19" s="12" t="str">
        <f t="shared" si="0"/>
        <v>4-weeks</v>
      </c>
      <c r="M19" t="str">
        <f t="shared" si="1"/>
        <v>No Risk</v>
      </c>
    </row>
    <row r="20" spans="1:13" x14ac:dyDescent="0.35">
      <c r="A20">
        <v>119</v>
      </c>
      <c r="B20" t="s">
        <v>11</v>
      </c>
      <c r="C20">
        <v>32</v>
      </c>
      <c r="D20" t="s">
        <v>12</v>
      </c>
      <c r="E20" t="s">
        <v>13</v>
      </c>
      <c r="F20" s="2">
        <v>1170.3</v>
      </c>
      <c r="G20">
        <v>14</v>
      </c>
      <c r="H20">
        <v>4.7</v>
      </c>
      <c r="I20" t="b">
        <v>1</v>
      </c>
      <c r="J20" s="12">
        <v>29</v>
      </c>
      <c r="K20" t="s">
        <v>14</v>
      </c>
      <c r="L20" s="12" t="str">
        <f t="shared" si="0"/>
        <v>5-weeks</v>
      </c>
      <c r="M20" t="str">
        <f t="shared" si="1"/>
        <v>At Risk</v>
      </c>
    </row>
    <row r="21" spans="1:13" x14ac:dyDescent="0.35">
      <c r="A21">
        <v>120</v>
      </c>
      <c r="B21" t="s">
        <v>15</v>
      </c>
      <c r="C21">
        <v>34</v>
      </c>
      <c r="D21" t="s">
        <v>16</v>
      </c>
      <c r="E21" t="s">
        <v>17</v>
      </c>
      <c r="F21" s="2">
        <v>790.2</v>
      </c>
      <c r="G21">
        <v>11</v>
      </c>
      <c r="H21">
        <v>4</v>
      </c>
      <c r="I21" t="b">
        <v>0</v>
      </c>
      <c r="J21" s="12">
        <v>16</v>
      </c>
      <c r="K21" t="s">
        <v>18</v>
      </c>
      <c r="L21" s="12" t="str">
        <f t="shared" si="0"/>
        <v>3-weeks</v>
      </c>
      <c r="M21" t="str">
        <f t="shared" si="1"/>
        <v>No Risk</v>
      </c>
    </row>
    <row r="22" spans="1:13" x14ac:dyDescent="0.35">
      <c r="A22">
        <v>121</v>
      </c>
      <c r="B22" t="s">
        <v>11</v>
      </c>
      <c r="C22">
        <v>43</v>
      </c>
      <c r="D22" t="s">
        <v>19</v>
      </c>
      <c r="E22" t="s">
        <v>20</v>
      </c>
      <c r="F22" s="2">
        <v>505.75</v>
      </c>
      <c r="G22">
        <v>10</v>
      </c>
      <c r="H22">
        <v>3.3</v>
      </c>
      <c r="I22" t="b">
        <v>1</v>
      </c>
      <c r="J22" s="12">
        <v>41</v>
      </c>
      <c r="K22" t="s">
        <v>21</v>
      </c>
      <c r="L22" s="12" t="str">
        <f t="shared" si="0"/>
        <v>6-weeks</v>
      </c>
      <c r="M22" t="str">
        <f t="shared" si="1"/>
        <v>At Risk</v>
      </c>
    </row>
    <row r="23" spans="1:13" x14ac:dyDescent="0.35">
      <c r="A23">
        <v>122</v>
      </c>
      <c r="B23" t="s">
        <v>15</v>
      </c>
      <c r="C23">
        <v>30</v>
      </c>
      <c r="D23" t="s">
        <v>22</v>
      </c>
      <c r="E23" t="s">
        <v>13</v>
      </c>
      <c r="F23" s="2">
        <v>1470.5</v>
      </c>
      <c r="G23">
        <v>20</v>
      </c>
      <c r="H23">
        <v>4.8</v>
      </c>
      <c r="I23" t="b">
        <v>0</v>
      </c>
      <c r="J23" s="12">
        <v>13</v>
      </c>
      <c r="K23" t="s">
        <v>14</v>
      </c>
      <c r="L23" s="12" t="str">
        <f t="shared" si="0"/>
        <v>2-weeks</v>
      </c>
      <c r="M23" t="str">
        <f t="shared" si="1"/>
        <v>No Risk</v>
      </c>
    </row>
    <row r="24" spans="1:13" x14ac:dyDescent="0.35">
      <c r="A24">
        <v>123</v>
      </c>
      <c r="B24" t="s">
        <v>15</v>
      </c>
      <c r="C24">
        <v>27</v>
      </c>
      <c r="D24" t="s">
        <v>23</v>
      </c>
      <c r="E24" t="s">
        <v>17</v>
      </c>
      <c r="F24" s="2">
        <v>710.4</v>
      </c>
      <c r="G24">
        <v>13</v>
      </c>
      <c r="H24">
        <v>4.0999999999999996</v>
      </c>
      <c r="I24" t="b">
        <v>1</v>
      </c>
      <c r="J24" s="12">
        <v>54</v>
      </c>
      <c r="K24" t="s">
        <v>21</v>
      </c>
      <c r="L24" s="12" t="str">
        <f t="shared" si="0"/>
        <v>8-weeks</v>
      </c>
      <c r="M24" t="str">
        <f t="shared" si="1"/>
        <v>At Risk</v>
      </c>
    </row>
    <row r="25" spans="1:13" x14ac:dyDescent="0.35">
      <c r="A25">
        <v>124</v>
      </c>
      <c r="B25" t="s">
        <v>11</v>
      </c>
      <c r="C25">
        <v>37</v>
      </c>
      <c r="D25" t="s">
        <v>24</v>
      </c>
      <c r="E25" t="s">
        <v>20</v>
      </c>
      <c r="F25" s="2">
        <v>430.8</v>
      </c>
      <c r="G25">
        <v>7</v>
      </c>
      <c r="H25">
        <v>3.4</v>
      </c>
      <c r="I25" t="b">
        <v>0</v>
      </c>
      <c r="J25" s="12">
        <v>23</v>
      </c>
      <c r="K25" t="s">
        <v>18</v>
      </c>
      <c r="L25" s="12" t="str">
        <f t="shared" si="0"/>
        <v>4-weeks</v>
      </c>
      <c r="M25" t="str">
        <f t="shared" si="1"/>
        <v>No Risk</v>
      </c>
    </row>
    <row r="26" spans="1:13" x14ac:dyDescent="0.35">
      <c r="A26">
        <v>125</v>
      </c>
      <c r="B26" t="s">
        <v>11</v>
      </c>
      <c r="C26">
        <v>31</v>
      </c>
      <c r="D26" t="s">
        <v>12</v>
      </c>
      <c r="E26" t="s">
        <v>13</v>
      </c>
      <c r="F26" s="2">
        <v>1140.5999999999999</v>
      </c>
      <c r="G26">
        <v>15</v>
      </c>
      <c r="H26">
        <v>4.5999999999999996</v>
      </c>
      <c r="I26" t="b">
        <v>1</v>
      </c>
      <c r="J26" s="12">
        <v>27</v>
      </c>
      <c r="K26" t="s">
        <v>14</v>
      </c>
      <c r="L26" s="12" t="str">
        <f t="shared" si="0"/>
        <v>4-weeks</v>
      </c>
      <c r="M26" t="str">
        <f t="shared" si="1"/>
        <v>No Risk</v>
      </c>
    </row>
    <row r="27" spans="1:13" x14ac:dyDescent="0.35">
      <c r="A27">
        <v>126</v>
      </c>
      <c r="B27" t="s">
        <v>15</v>
      </c>
      <c r="C27">
        <v>35</v>
      </c>
      <c r="D27" t="s">
        <v>16</v>
      </c>
      <c r="E27" t="s">
        <v>17</v>
      </c>
      <c r="F27" s="2">
        <v>810.9</v>
      </c>
      <c r="G27">
        <v>12</v>
      </c>
      <c r="H27">
        <v>4.3</v>
      </c>
      <c r="I27" t="b">
        <v>0</v>
      </c>
      <c r="J27" s="12">
        <v>13</v>
      </c>
      <c r="K27" t="s">
        <v>18</v>
      </c>
      <c r="L27" s="12" t="str">
        <f t="shared" si="0"/>
        <v>2-weeks</v>
      </c>
      <c r="M27" t="str">
        <f t="shared" si="1"/>
        <v>No Risk</v>
      </c>
    </row>
    <row r="28" spans="1:13" x14ac:dyDescent="0.35">
      <c r="A28">
        <v>127</v>
      </c>
      <c r="B28" t="s">
        <v>11</v>
      </c>
      <c r="C28">
        <v>41</v>
      </c>
      <c r="D28" t="s">
        <v>19</v>
      </c>
      <c r="E28" t="s">
        <v>20</v>
      </c>
      <c r="F28" s="2">
        <v>485.25</v>
      </c>
      <c r="G28">
        <v>9</v>
      </c>
      <c r="H28">
        <v>3.6</v>
      </c>
      <c r="I28" t="b">
        <v>1</v>
      </c>
      <c r="J28" s="12">
        <v>39</v>
      </c>
      <c r="K28" t="s">
        <v>21</v>
      </c>
      <c r="L28" s="12" t="str">
        <f t="shared" si="0"/>
        <v>6-weeks</v>
      </c>
      <c r="M28" t="str">
        <f t="shared" si="1"/>
        <v>At Risk</v>
      </c>
    </row>
    <row r="29" spans="1:13" x14ac:dyDescent="0.35">
      <c r="A29">
        <v>128</v>
      </c>
      <c r="B29" t="s">
        <v>15</v>
      </c>
      <c r="C29">
        <v>28</v>
      </c>
      <c r="D29" t="s">
        <v>22</v>
      </c>
      <c r="E29" t="s">
        <v>13</v>
      </c>
      <c r="F29" s="2">
        <v>1500.1</v>
      </c>
      <c r="G29">
        <v>21</v>
      </c>
      <c r="H29">
        <v>4.9000000000000004</v>
      </c>
      <c r="I29" t="b">
        <v>0</v>
      </c>
      <c r="J29" s="12">
        <v>10</v>
      </c>
      <c r="K29" t="s">
        <v>14</v>
      </c>
      <c r="L29" s="12" t="str">
        <f t="shared" si="0"/>
        <v>2-weeks</v>
      </c>
      <c r="M29" t="str">
        <f t="shared" si="1"/>
        <v>No Risk</v>
      </c>
    </row>
    <row r="30" spans="1:13" x14ac:dyDescent="0.35">
      <c r="A30">
        <v>129</v>
      </c>
      <c r="B30" t="s">
        <v>15</v>
      </c>
      <c r="C30">
        <v>32</v>
      </c>
      <c r="D30" t="s">
        <v>23</v>
      </c>
      <c r="E30" t="s">
        <v>17</v>
      </c>
      <c r="F30" s="2">
        <v>670.3</v>
      </c>
      <c r="G30">
        <v>10</v>
      </c>
      <c r="H30">
        <v>3.8</v>
      </c>
      <c r="I30" t="b">
        <v>1</v>
      </c>
      <c r="J30" s="12">
        <v>33</v>
      </c>
      <c r="K30" t="s">
        <v>21</v>
      </c>
      <c r="L30" s="12" t="str">
        <f t="shared" si="0"/>
        <v>5-weeks</v>
      </c>
      <c r="M30" t="str">
        <f t="shared" si="1"/>
        <v>At Risk</v>
      </c>
    </row>
    <row r="31" spans="1:13" x14ac:dyDescent="0.35">
      <c r="A31">
        <v>130</v>
      </c>
      <c r="B31" t="s">
        <v>11</v>
      </c>
      <c r="C31">
        <v>36</v>
      </c>
      <c r="D31" t="s">
        <v>24</v>
      </c>
      <c r="E31" t="s">
        <v>20</v>
      </c>
      <c r="F31" s="2">
        <v>460.5</v>
      </c>
      <c r="G31">
        <v>8</v>
      </c>
      <c r="H31">
        <v>3.1</v>
      </c>
      <c r="I31" t="b">
        <v>0</v>
      </c>
      <c r="J31" s="12">
        <v>19</v>
      </c>
      <c r="K31" t="s">
        <v>18</v>
      </c>
      <c r="L31" s="12" t="str">
        <f t="shared" si="0"/>
        <v>3-weeks</v>
      </c>
      <c r="M31" t="str">
        <f t="shared" si="1"/>
        <v>No Risk</v>
      </c>
    </row>
    <row r="32" spans="1:13" x14ac:dyDescent="0.35">
      <c r="A32">
        <v>131</v>
      </c>
      <c r="B32" t="s">
        <v>11</v>
      </c>
      <c r="C32">
        <v>30</v>
      </c>
      <c r="D32" t="s">
        <v>12</v>
      </c>
      <c r="E32" t="s">
        <v>13</v>
      </c>
      <c r="F32" s="2">
        <v>1190.8</v>
      </c>
      <c r="G32">
        <v>16</v>
      </c>
      <c r="H32">
        <v>4.5</v>
      </c>
      <c r="I32" t="b">
        <v>1</v>
      </c>
      <c r="J32" s="12">
        <v>20</v>
      </c>
      <c r="K32" t="s">
        <v>14</v>
      </c>
      <c r="L32" s="12" t="str">
        <f t="shared" si="0"/>
        <v>3-weeks</v>
      </c>
      <c r="M32" t="str">
        <f t="shared" si="1"/>
        <v>No Risk</v>
      </c>
    </row>
    <row r="33" spans="1:13" x14ac:dyDescent="0.35">
      <c r="A33">
        <v>132</v>
      </c>
      <c r="B33" t="s">
        <v>15</v>
      </c>
      <c r="C33">
        <v>33</v>
      </c>
      <c r="D33" t="s">
        <v>16</v>
      </c>
      <c r="E33" t="s">
        <v>17</v>
      </c>
      <c r="F33" s="2">
        <v>830.75</v>
      </c>
      <c r="G33">
        <v>13</v>
      </c>
      <c r="H33">
        <v>4.2</v>
      </c>
      <c r="I33" t="b">
        <v>0</v>
      </c>
      <c r="J33" s="12">
        <v>14</v>
      </c>
      <c r="K33" t="s">
        <v>14</v>
      </c>
      <c r="L33" s="12" t="str">
        <f t="shared" si="0"/>
        <v>2-weeks</v>
      </c>
      <c r="M33" t="str">
        <f t="shared" si="1"/>
        <v>No Risk</v>
      </c>
    </row>
    <row r="34" spans="1:13" x14ac:dyDescent="0.35">
      <c r="A34">
        <v>133</v>
      </c>
      <c r="B34" t="s">
        <v>11</v>
      </c>
      <c r="C34">
        <v>42</v>
      </c>
      <c r="D34" t="s">
        <v>19</v>
      </c>
      <c r="E34" t="s">
        <v>20</v>
      </c>
      <c r="F34" s="2">
        <v>520.4</v>
      </c>
      <c r="G34">
        <v>9</v>
      </c>
      <c r="H34">
        <v>3.5</v>
      </c>
      <c r="I34" t="b">
        <v>1</v>
      </c>
      <c r="J34" s="12">
        <v>37</v>
      </c>
      <c r="K34" t="s">
        <v>21</v>
      </c>
      <c r="L34" s="12" t="str">
        <f t="shared" si="0"/>
        <v>6-weeks</v>
      </c>
      <c r="M34" t="str">
        <f t="shared" si="1"/>
        <v>At Risk</v>
      </c>
    </row>
    <row r="35" spans="1:13" x14ac:dyDescent="0.35">
      <c r="A35">
        <v>134</v>
      </c>
      <c r="B35" t="s">
        <v>15</v>
      </c>
      <c r="C35">
        <v>29</v>
      </c>
      <c r="D35" t="s">
        <v>22</v>
      </c>
      <c r="E35" t="s">
        <v>13</v>
      </c>
      <c r="F35" s="2">
        <v>1370.2</v>
      </c>
      <c r="G35">
        <v>18</v>
      </c>
      <c r="H35">
        <v>4.7</v>
      </c>
      <c r="I35" t="b">
        <v>0</v>
      </c>
      <c r="J35" s="12">
        <v>10</v>
      </c>
      <c r="K35" t="s">
        <v>14</v>
      </c>
      <c r="L35" s="12" t="str">
        <f t="shared" si="0"/>
        <v>2-weeks</v>
      </c>
      <c r="M35" t="str">
        <f t="shared" si="1"/>
        <v>No Risk</v>
      </c>
    </row>
    <row r="36" spans="1:13" x14ac:dyDescent="0.35">
      <c r="A36">
        <v>135</v>
      </c>
      <c r="B36" t="s">
        <v>15</v>
      </c>
      <c r="C36">
        <v>26</v>
      </c>
      <c r="D36" t="s">
        <v>23</v>
      </c>
      <c r="E36" t="s">
        <v>17</v>
      </c>
      <c r="F36" s="2">
        <v>690.6</v>
      </c>
      <c r="G36">
        <v>12</v>
      </c>
      <c r="H36">
        <v>3.9</v>
      </c>
      <c r="I36" t="b">
        <v>1</v>
      </c>
      <c r="J36" s="12">
        <v>47</v>
      </c>
      <c r="K36" t="s">
        <v>21</v>
      </c>
      <c r="L36" s="12" t="str">
        <f t="shared" si="0"/>
        <v>7-weeks</v>
      </c>
      <c r="M36" t="str">
        <f t="shared" si="1"/>
        <v>At Risk</v>
      </c>
    </row>
    <row r="37" spans="1:13" x14ac:dyDescent="0.35">
      <c r="A37">
        <v>136</v>
      </c>
      <c r="B37" t="s">
        <v>11</v>
      </c>
      <c r="C37">
        <v>38</v>
      </c>
      <c r="D37" t="s">
        <v>24</v>
      </c>
      <c r="E37" t="s">
        <v>20</v>
      </c>
      <c r="F37" s="2">
        <v>440.9</v>
      </c>
      <c r="G37">
        <v>8</v>
      </c>
      <c r="H37">
        <v>3.2</v>
      </c>
      <c r="I37" t="b">
        <v>0</v>
      </c>
      <c r="J37" s="12">
        <v>24</v>
      </c>
      <c r="K37" t="s">
        <v>18</v>
      </c>
      <c r="L37" s="12" t="str">
        <f t="shared" si="0"/>
        <v>4-weeks</v>
      </c>
      <c r="M37" t="str">
        <f t="shared" si="1"/>
        <v>No Risk</v>
      </c>
    </row>
    <row r="38" spans="1:13" x14ac:dyDescent="0.35">
      <c r="A38">
        <v>137</v>
      </c>
      <c r="B38" t="s">
        <v>11</v>
      </c>
      <c r="C38">
        <v>32</v>
      </c>
      <c r="D38" t="s">
        <v>12</v>
      </c>
      <c r="E38" t="s">
        <v>13</v>
      </c>
      <c r="F38" s="2">
        <v>1160.3</v>
      </c>
      <c r="G38">
        <v>14</v>
      </c>
      <c r="H38">
        <v>4.4000000000000004</v>
      </c>
      <c r="I38" t="b">
        <v>1</v>
      </c>
      <c r="J38" s="12">
        <v>22</v>
      </c>
      <c r="K38" t="s">
        <v>14</v>
      </c>
      <c r="L38" s="12" t="str">
        <f t="shared" si="0"/>
        <v>4-weeks</v>
      </c>
      <c r="M38" t="str">
        <f t="shared" si="1"/>
        <v>No Risk</v>
      </c>
    </row>
    <row r="39" spans="1:13" x14ac:dyDescent="0.35">
      <c r="A39">
        <v>138</v>
      </c>
      <c r="B39" t="s">
        <v>15</v>
      </c>
      <c r="C39">
        <v>34</v>
      </c>
      <c r="D39" t="s">
        <v>16</v>
      </c>
      <c r="E39" t="s">
        <v>17</v>
      </c>
      <c r="F39" s="2">
        <v>800.2</v>
      </c>
      <c r="G39">
        <v>11</v>
      </c>
      <c r="H39">
        <v>4.0999999999999996</v>
      </c>
      <c r="I39" t="b">
        <v>0</v>
      </c>
      <c r="J39" s="12">
        <v>17</v>
      </c>
      <c r="K39" t="s">
        <v>18</v>
      </c>
      <c r="L39" s="12" t="str">
        <f t="shared" si="0"/>
        <v>3-weeks</v>
      </c>
      <c r="M39" t="str">
        <f t="shared" si="1"/>
        <v>No Risk</v>
      </c>
    </row>
    <row r="40" spans="1:13" x14ac:dyDescent="0.35">
      <c r="A40">
        <v>139</v>
      </c>
      <c r="B40" t="s">
        <v>11</v>
      </c>
      <c r="C40">
        <v>43</v>
      </c>
      <c r="D40" t="s">
        <v>19</v>
      </c>
      <c r="E40" t="s">
        <v>20</v>
      </c>
      <c r="F40" s="2">
        <v>500.75</v>
      </c>
      <c r="G40">
        <v>10</v>
      </c>
      <c r="H40">
        <v>3.3</v>
      </c>
      <c r="I40" t="b">
        <v>1</v>
      </c>
      <c r="J40" s="12">
        <v>40</v>
      </c>
      <c r="K40" t="s">
        <v>21</v>
      </c>
      <c r="L40" s="12" t="str">
        <f t="shared" si="0"/>
        <v>6-weeks</v>
      </c>
      <c r="M40" t="str">
        <f t="shared" si="1"/>
        <v>At Risk</v>
      </c>
    </row>
    <row r="41" spans="1:13" x14ac:dyDescent="0.35">
      <c r="A41">
        <v>140</v>
      </c>
      <c r="B41" t="s">
        <v>15</v>
      </c>
      <c r="C41">
        <v>30</v>
      </c>
      <c r="D41" t="s">
        <v>22</v>
      </c>
      <c r="E41" t="s">
        <v>13</v>
      </c>
      <c r="F41" s="2">
        <v>1460.5</v>
      </c>
      <c r="G41">
        <v>20</v>
      </c>
      <c r="H41">
        <v>4.8</v>
      </c>
      <c r="I41" t="b">
        <v>0</v>
      </c>
      <c r="J41" s="12">
        <v>12</v>
      </c>
      <c r="K41" t="s">
        <v>14</v>
      </c>
      <c r="L41" s="12" t="str">
        <f t="shared" si="0"/>
        <v>2-weeks</v>
      </c>
      <c r="M41" t="str">
        <f t="shared" si="1"/>
        <v>No Risk</v>
      </c>
    </row>
    <row r="42" spans="1:13" x14ac:dyDescent="0.35">
      <c r="A42">
        <v>141</v>
      </c>
      <c r="B42" t="s">
        <v>15</v>
      </c>
      <c r="C42">
        <v>27</v>
      </c>
      <c r="D42" t="s">
        <v>23</v>
      </c>
      <c r="E42" t="s">
        <v>17</v>
      </c>
      <c r="F42" s="2">
        <v>700.4</v>
      </c>
      <c r="G42">
        <v>13</v>
      </c>
      <c r="H42">
        <v>4</v>
      </c>
      <c r="I42" t="b">
        <v>1</v>
      </c>
      <c r="J42" s="12">
        <v>53</v>
      </c>
      <c r="K42" t="s">
        <v>21</v>
      </c>
      <c r="L42" s="12" t="str">
        <f t="shared" si="0"/>
        <v>8-weeks</v>
      </c>
      <c r="M42" t="str">
        <f t="shared" si="1"/>
        <v>At Risk</v>
      </c>
    </row>
    <row r="43" spans="1:13" x14ac:dyDescent="0.35">
      <c r="A43">
        <v>142</v>
      </c>
      <c r="B43" t="s">
        <v>11</v>
      </c>
      <c r="C43">
        <v>37</v>
      </c>
      <c r="D43" t="s">
        <v>24</v>
      </c>
      <c r="E43" t="s">
        <v>20</v>
      </c>
      <c r="F43" s="2">
        <v>420.8</v>
      </c>
      <c r="G43">
        <v>7</v>
      </c>
      <c r="H43">
        <v>3.1</v>
      </c>
      <c r="I43" t="b">
        <v>0</v>
      </c>
      <c r="J43" s="12">
        <v>21</v>
      </c>
      <c r="K43" t="s">
        <v>18</v>
      </c>
      <c r="L43" s="12" t="str">
        <f t="shared" si="0"/>
        <v>3-weeks</v>
      </c>
      <c r="M43" t="str">
        <f t="shared" si="1"/>
        <v>No Risk</v>
      </c>
    </row>
    <row r="44" spans="1:13" x14ac:dyDescent="0.35">
      <c r="A44">
        <v>143</v>
      </c>
      <c r="B44" t="s">
        <v>11</v>
      </c>
      <c r="C44">
        <v>31</v>
      </c>
      <c r="D44" t="s">
        <v>12</v>
      </c>
      <c r="E44" t="s">
        <v>13</v>
      </c>
      <c r="F44" s="2">
        <v>1130.5999999999999</v>
      </c>
      <c r="G44">
        <v>15</v>
      </c>
      <c r="H44">
        <v>4.5</v>
      </c>
      <c r="I44" t="b">
        <v>1</v>
      </c>
      <c r="J44" s="12">
        <v>26</v>
      </c>
      <c r="K44" t="s">
        <v>14</v>
      </c>
      <c r="L44" s="12" t="str">
        <f t="shared" si="0"/>
        <v>4-weeks</v>
      </c>
      <c r="M44" t="str">
        <f t="shared" si="1"/>
        <v>No Risk</v>
      </c>
    </row>
    <row r="45" spans="1:13" x14ac:dyDescent="0.35">
      <c r="A45">
        <v>144</v>
      </c>
      <c r="B45" t="s">
        <v>15</v>
      </c>
      <c r="C45">
        <v>35</v>
      </c>
      <c r="D45" t="s">
        <v>16</v>
      </c>
      <c r="E45" t="s">
        <v>17</v>
      </c>
      <c r="F45" s="2">
        <v>820.9</v>
      </c>
      <c r="G45">
        <v>12</v>
      </c>
      <c r="H45">
        <v>4.3</v>
      </c>
      <c r="I45" t="b">
        <v>0</v>
      </c>
      <c r="J45" s="12">
        <v>12</v>
      </c>
      <c r="K45" t="s">
        <v>18</v>
      </c>
      <c r="L45" s="12" t="str">
        <f t="shared" si="0"/>
        <v>2-weeks</v>
      </c>
      <c r="M45" t="str">
        <f t="shared" si="1"/>
        <v>No Risk</v>
      </c>
    </row>
    <row r="46" spans="1:13" x14ac:dyDescent="0.35">
      <c r="A46">
        <v>145</v>
      </c>
      <c r="B46" t="s">
        <v>11</v>
      </c>
      <c r="C46">
        <v>41</v>
      </c>
      <c r="D46" t="s">
        <v>19</v>
      </c>
      <c r="E46" t="s">
        <v>20</v>
      </c>
      <c r="F46" s="2">
        <v>480.25</v>
      </c>
      <c r="G46">
        <v>9</v>
      </c>
      <c r="H46">
        <v>3.6</v>
      </c>
      <c r="I46" t="b">
        <v>1</v>
      </c>
      <c r="J46" s="12">
        <v>38</v>
      </c>
      <c r="K46" t="s">
        <v>21</v>
      </c>
      <c r="L46" s="12" t="str">
        <f t="shared" si="0"/>
        <v>6-weeks</v>
      </c>
      <c r="M46" t="str">
        <f t="shared" si="1"/>
        <v>At Risk</v>
      </c>
    </row>
    <row r="47" spans="1:13" x14ac:dyDescent="0.35">
      <c r="A47">
        <v>146</v>
      </c>
      <c r="B47" t="s">
        <v>15</v>
      </c>
      <c r="C47">
        <v>28</v>
      </c>
      <c r="D47" t="s">
        <v>22</v>
      </c>
      <c r="E47" t="s">
        <v>13</v>
      </c>
      <c r="F47" s="2">
        <v>1490.1</v>
      </c>
      <c r="G47">
        <v>21</v>
      </c>
      <c r="H47">
        <v>4.9000000000000004</v>
      </c>
      <c r="I47" t="b">
        <v>0</v>
      </c>
      <c r="J47" s="12">
        <v>9</v>
      </c>
      <c r="K47" t="s">
        <v>14</v>
      </c>
      <c r="L47" s="12" t="str">
        <f t="shared" si="0"/>
        <v>2-weeks</v>
      </c>
      <c r="M47" t="str">
        <f t="shared" si="1"/>
        <v>No Risk</v>
      </c>
    </row>
    <row r="48" spans="1:13" x14ac:dyDescent="0.35">
      <c r="A48">
        <v>147</v>
      </c>
      <c r="B48" t="s">
        <v>15</v>
      </c>
      <c r="C48">
        <v>32</v>
      </c>
      <c r="D48" t="s">
        <v>23</v>
      </c>
      <c r="E48" t="s">
        <v>17</v>
      </c>
      <c r="F48" s="2">
        <v>680.3</v>
      </c>
      <c r="G48">
        <v>10</v>
      </c>
      <c r="H48">
        <v>3.8</v>
      </c>
      <c r="I48" t="b">
        <v>1</v>
      </c>
      <c r="J48" s="12">
        <v>32</v>
      </c>
      <c r="K48" t="s">
        <v>21</v>
      </c>
      <c r="L48" s="12" t="str">
        <f t="shared" si="0"/>
        <v>5-weeks</v>
      </c>
      <c r="M48" t="str">
        <f t="shared" si="1"/>
        <v>At Risk</v>
      </c>
    </row>
    <row r="49" spans="1:13" x14ac:dyDescent="0.35">
      <c r="A49">
        <v>148</v>
      </c>
      <c r="B49" t="s">
        <v>11</v>
      </c>
      <c r="C49">
        <v>36</v>
      </c>
      <c r="D49" t="s">
        <v>24</v>
      </c>
      <c r="E49" t="s">
        <v>20</v>
      </c>
      <c r="F49" s="2">
        <v>470.5</v>
      </c>
      <c r="G49">
        <v>8</v>
      </c>
      <c r="H49">
        <v>3</v>
      </c>
      <c r="I49" t="b">
        <v>0</v>
      </c>
      <c r="J49" s="12">
        <v>18</v>
      </c>
      <c r="K49" t="s">
        <v>18</v>
      </c>
      <c r="L49" s="12" t="str">
        <f t="shared" si="0"/>
        <v>3-weeks</v>
      </c>
      <c r="M49" t="str">
        <f t="shared" si="1"/>
        <v>No Risk</v>
      </c>
    </row>
    <row r="50" spans="1:13" x14ac:dyDescent="0.35">
      <c r="A50">
        <v>149</v>
      </c>
      <c r="B50" t="s">
        <v>11</v>
      </c>
      <c r="C50">
        <v>30</v>
      </c>
      <c r="D50" t="s">
        <v>12</v>
      </c>
      <c r="E50" t="s">
        <v>13</v>
      </c>
      <c r="F50" s="2">
        <v>1180.8</v>
      </c>
      <c r="G50">
        <v>16</v>
      </c>
      <c r="H50">
        <v>4.7</v>
      </c>
      <c r="I50" t="b">
        <v>1</v>
      </c>
      <c r="J50" s="12">
        <v>19</v>
      </c>
      <c r="K50" t="s">
        <v>14</v>
      </c>
      <c r="L50" s="12" t="str">
        <f t="shared" si="0"/>
        <v>3-weeks</v>
      </c>
      <c r="M50" t="str">
        <f t="shared" si="1"/>
        <v>No Risk</v>
      </c>
    </row>
    <row r="51" spans="1:13" x14ac:dyDescent="0.35">
      <c r="A51">
        <v>150</v>
      </c>
      <c r="B51" t="s">
        <v>15</v>
      </c>
      <c r="C51">
        <v>34</v>
      </c>
      <c r="D51" t="s">
        <v>16</v>
      </c>
      <c r="E51" t="s">
        <v>17</v>
      </c>
      <c r="F51" s="2">
        <v>790.2</v>
      </c>
      <c r="G51">
        <v>11</v>
      </c>
      <c r="H51">
        <v>4</v>
      </c>
      <c r="I51" t="b">
        <v>0</v>
      </c>
      <c r="J51" s="12">
        <v>15</v>
      </c>
      <c r="K51" t="s">
        <v>18</v>
      </c>
      <c r="L51" s="12" t="str">
        <f t="shared" si="0"/>
        <v>3-weeks</v>
      </c>
      <c r="M51" t="str">
        <f t="shared" si="1"/>
        <v>No Risk</v>
      </c>
    </row>
    <row r="52" spans="1:13" x14ac:dyDescent="0.35">
      <c r="A52">
        <v>151</v>
      </c>
      <c r="B52" t="s">
        <v>11</v>
      </c>
      <c r="C52">
        <v>43</v>
      </c>
      <c r="D52" t="s">
        <v>19</v>
      </c>
      <c r="E52" t="s">
        <v>20</v>
      </c>
      <c r="F52" s="2">
        <v>505.75</v>
      </c>
      <c r="G52">
        <v>10</v>
      </c>
      <c r="H52">
        <v>3.3</v>
      </c>
      <c r="I52" t="b">
        <v>1</v>
      </c>
      <c r="J52" s="12">
        <v>39</v>
      </c>
      <c r="K52" t="s">
        <v>21</v>
      </c>
      <c r="L52" s="12" t="str">
        <f t="shared" si="0"/>
        <v>6-weeks</v>
      </c>
      <c r="M52" t="str">
        <f t="shared" si="1"/>
        <v>At Risk</v>
      </c>
    </row>
    <row r="53" spans="1:13" x14ac:dyDescent="0.35">
      <c r="A53">
        <v>152</v>
      </c>
      <c r="B53" t="s">
        <v>15</v>
      </c>
      <c r="C53">
        <v>30</v>
      </c>
      <c r="D53" t="s">
        <v>22</v>
      </c>
      <c r="E53" t="s">
        <v>13</v>
      </c>
      <c r="F53" s="2">
        <v>1470.5</v>
      </c>
      <c r="G53">
        <v>20</v>
      </c>
      <c r="H53">
        <v>4.8</v>
      </c>
      <c r="I53" t="b">
        <v>0</v>
      </c>
      <c r="J53" s="12">
        <v>13</v>
      </c>
      <c r="K53" t="s">
        <v>14</v>
      </c>
      <c r="L53" s="12" t="str">
        <f t="shared" si="0"/>
        <v>2-weeks</v>
      </c>
      <c r="M53" t="str">
        <f t="shared" si="1"/>
        <v>No Risk</v>
      </c>
    </row>
    <row r="54" spans="1:13" x14ac:dyDescent="0.35">
      <c r="A54">
        <v>153</v>
      </c>
      <c r="B54" t="s">
        <v>15</v>
      </c>
      <c r="C54">
        <v>27</v>
      </c>
      <c r="D54" t="s">
        <v>23</v>
      </c>
      <c r="E54" t="s">
        <v>17</v>
      </c>
      <c r="F54" s="2">
        <v>710.4</v>
      </c>
      <c r="G54">
        <v>13</v>
      </c>
      <c r="H54">
        <v>4.0999999999999996</v>
      </c>
      <c r="I54" t="b">
        <v>1</v>
      </c>
      <c r="J54" s="12">
        <v>54</v>
      </c>
      <c r="K54" t="s">
        <v>21</v>
      </c>
      <c r="L54" s="12" t="str">
        <f t="shared" si="0"/>
        <v>8-weeks</v>
      </c>
      <c r="M54" t="str">
        <f t="shared" si="1"/>
        <v>At Risk</v>
      </c>
    </row>
    <row r="55" spans="1:13" x14ac:dyDescent="0.35">
      <c r="A55">
        <v>154</v>
      </c>
      <c r="B55" t="s">
        <v>11</v>
      </c>
      <c r="C55">
        <v>37</v>
      </c>
      <c r="D55" t="s">
        <v>24</v>
      </c>
      <c r="E55" t="s">
        <v>20</v>
      </c>
      <c r="F55" s="2">
        <v>430.8</v>
      </c>
      <c r="G55">
        <v>7</v>
      </c>
      <c r="H55">
        <v>3.4</v>
      </c>
      <c r="I55" t="b">
        <v>0</v>
      </c>
      <c r="J55" s="12">
        <v>23</v>
      </c>
      <c r="K55" t="s">
        <v>18</v>
      </c>
      <c r="L55" s="12" t="str">
        <f t="shared" si="0"/>
        <v>4-weeks</v>
      </c>
      <c r="M55" t="str">
        <f t="shared" si="1"/>
        <v>No Risk</v>
      </c>
    </row>
    <row r="56" spans="1:13" x14ac:dyDescent="0.35">
      <c r="A56">
        <v>155</v>
      </c>
      <c r="B56" t="s">
        <v>11</v>
      </c>
      <c r="C56">
        <v>31</v>
      </c>
      <c r="D56" t="s">
        <v>12</v>
      </c>
      <c r="E56" t="s">
        <v>13</v>
      </c>
      <c r="F56" s="2">
        <v>1140.5999999999999</v>
      </c>
      <c r="G56">
        <v>15</v>
      </c>
      <c r="H56">
        <v>4.5999999999999996</v>
      </c>
      <c r="I56" t="b">
        <v>1</v>
      </c>
      <c r="J56" s="12">
        <v>27</v>
      </c>
      <c r="K56" t="s">
        <v>14</v>
      </c>
      <c r="L56" s="12" t="str">
        <f t="shared" si="0"/>
        <v>4-weeks</v>
      </c>
      <c r="M56" t="str">
        <f t="shared" si="1"/>
        <v>No Risk</v>
      </c>
    </row>
    <row r="57" spans="1:13" x14ac:dyDescent="0.35">
      <c r="A57">
        <v>156</v>
      </c>
      <c r="B57" t="s">
        <v>15</v>
      </c>
      <c r="C57">
        <v>35</v>
      </c>
      <c r="D57" t="s">
        <v>16</v>
      </c>
      <c r="E57" t="s">
        <v>17</v>
      </c>
      <c r="F57" s="2">
        <v>810.9</v>
      </c>
      <c r="G57">
        <v>12</v>
      </c>
      <c r="H57">
        <v>4.3</v>
      </c>
      <c r="I57" t="b">
        <v>0</v>
      </c>
      <c r="J57" s="12">
        <v>13</v>
      </c>
      <c r="K57" t="s">
        <v>18</v>
      </c>
      <c r="L57" s="12" t="str">
        <f t="shared" si="0"/>
        <v>2-weeks</v>
      </c>
      <c r="M57" t="str">
        <f t="shared" si="1"/>
        <v>No Risk</v>
      </c>
    </row>
    <row r="58" spans="1:13" x14ac:dyDescent="0.35">
      <c r="A58">
        <v>157</v>
      </c>
      <c r="B58" t="s">
        <v>11</v>
      </c>
      <c r="C58">
        <v>41</v>
      </c>
      <c r="D58" t="s">
        <v>19</v>
      </c>
      <c r="E58" t="s">
        <v>20</v>
      </c>
      <c r="F58" s="2">
        <v>485.25</v>
      </c>
      <c r="G58">
        <v>9</v>
      </c>
      <c r="H58">
        <v>3.6</v>
      </c>
      <c r="I58" t="b">
        <v>1</v>
      </c>
      <c r="J58" s="12">
        <v>39</v>
      </c>
      <c r="K58" t="s">
        <v>21</v>
      </c>
      <c r="L58" s="12" t="str">
        <f t="shared" si="0"/>
        <v>6-weeks</v>
      </c>
      <c r="M58" t="str">
        <f t="shared" si="1"/>
        <v>At Risk</v>
      </c>
    </row>
    <row r="59" spans="1:13" x14ac:dyDescent="0.35">
      <c r="A59">
        <v>158</v>
      </c>
      <c r="B59" t="s">
        <v>15</v>
      </c>
      <c r="C59">
        <v>28</v>
      </c>
      <c r="D59" t="s">
        <v>22</v>
      </c>
      <c r="E59" t="s">
        <v>13</v>
      </c>
      <c r="F59" s="2">
        <v>1500.1</v>
      </c>
      <c r="G59">
        <v>21</v>
      </c>
      <c r="H59">
        <v>4.9000000000000004</v>
      </c>
      <c r="I59" t="b">
        <v>0</v>
      </c>
      <c r="J59" s="12">
        <v>10</v>
      </c>
      <c r="K59" t="s">
        <v>14</v>
      </c>
      <c r="L59" s="12" t="str">
        <f t="shared" si="0"/>
        <v>2-weeks</v>
      </c>
      <c r="M59" t="str">
        <f t="shared" si="1"/>
        <v>No Risk</v>
      </c>
    </row>
    <row r="60" spans="1:13" x14ac:dyDescent="0.35">
      <c r="A60">
        <v>159</v>
      </c>
      <c r="B60" t="s">
        <v>15</v>
      </c>
      <c r="C60">
        <v>32</v>
      </c>
      <c r="D60" t="s">
        <v>23</v>
      </c>
      <c r="E60" t="s">
        <v>17</v>
      </c>
      <c r="F60" s="2">
        <v>670.3</v>
      </c>
      <c r="G60">
        <v>10</v>
      </c>
      <c r="H60">
        <v>3.8</v>
      </c>
      <c r="I60" t="b">
        <v>1</v>
      </c>
      <c r="J60" s="12">
        <v>33</v>
      </c>
      <c r="K60" t="s">
        <v>21</v>
      </c>
      <c r="L60" s="12" t="str">
        <f t="shared" si="0"/>
        <v>5-weeks</v>
      </c>
      <c r="M60" t="str">
        <f t="shared" si="1"/>
        <v>At Risk</v>
      </c>
    </row>
    <row r="61" spans="1:13" x14ac:dyDescent="0.35">
      <c r="A61">
        <v>160</v>
      </c>
      <c r="B61" t="s">
        <v>11</v>
      </c>
      <c r="C61">
        <v>36</v>
      </c>
      <c r="D61" t="s">
        <v>24</v>
      </c>
      <c r="E61" t="s">
        <v>20</v>
      </c>
      <c r="F61" s="2">
        <v>460.5</v>
      </c>
      <c r="G61">
        <v>8</v>
      </c>
      <c r="H61">
        <v>3.1</v>
      </c>
      <c r="I61" t="b">
        <v>0</v>
      </c>
      <c r="J61" s="12">
        <v>19</v>
      </c>
      <c r="K61" t="s">
        <v>18</v>
      </c>
      <c r="L61" s="12" t="str">
        <f t="shared" si="0"/>
        <v>3-weeks</v>
      </c>
      <c r="M61" t="str">
        <f t="shared" si="1"/>
        <v>No Risk</v>
      </c>
    </row>
    <row r="62" spans="1:13" x14ac:dyDescent="0.35">
      <c r="A62">
        <v>161</v>
      </c>
      <c r="B62" t="s">
        <v>11</v>
      </c>
      <c r="C62">
        <v>30</v>
      </c>
      <c r="D62" t="s">
        <v>12</v>
      </c>
      <c r="E62" t="s">
        <v>13</v>
      </c>
      <c r="F62" s="2">
        <v>1190.8</v>
      </c>
      <c r="G62">
        <v>16</v>
      </c>
      <c r="H62">
        <v>4.5</v>
      </c>
      <c r="I62" t="b">
        <v>1</v>
      </c>
      <c r="J62" s="12">
        <v>20</v>
      </c>
      <c r="K62" t="s">
        <v>14</v>
      </c>
      <c r="L62" s="12" t="str">
        <f t="shared" si="0"/>
        <v>3-weeks</v>
      </c>
      <c r="M62" t="str">
        <f t="shared" si="1"/>
        <v>No Risk</v>
      </c>
    </row>
    <row r="63" spans="1:13" x14ac:dyDescent="0.35">
      <c r="A63">
        <v>162</v>
      </c>
      <c r="B63" t="s">
        <v>15</v>
      </c>
      <c r="C63">
        <v>33</v>
      </c>
      <c r="D63" t="s">
        <v>16</v>
      </c>
      <c r="E63" t="s">
        <v>17</v>
      </c>
      <c r="F63" s="2">
        <v>830.75</v>
      </c>
      <c r="G63">
        <v>13</v>
      </c>
      <c r="H63">
        <v>4.2</v>
      </c>
      <c r="I63" t="b">
        <v>0</v>
      </c>
      <c r="J63" s="12">
        <v>14</v>
      </c>
      <c r="K63" t="s">
        <v>14</v>
      </c>
      <c r="L63" s="12" t="str">
        <f t="shared" si="0"/>
        <v>2-weeks</v>
      </c>
      <c r="M63" t="str">
        <f t="shared" si="1"/>
        <v>No Risk</v>
      </c>
    </row>
    <row r="64" spans="1:13" x14ac:dyDescent="0.35">
      <c r="A64">
        <v>163</v>
      </c>
      <c r="B64" t="s">
        <v>11</v>
      </c>
      <c r="C64">
        <v>42</v>
      </c>
      <c r="D64" t="s">
        <v>19</v>
      </c>
      <c r="E64" t="s">
        <v>20</v>
      </c>
      <c r="F64" s="2">
        <v>520.4</v>
      </c>
      <c r="G64">
        <v>9</v>
      </c>
      <c r="H64">
        <v>3.5</v>
      </c>
      <c r="I64" t="b">
        <v>1</v>
      </c>
      <c r="J64" s="12">
        <v>37</v>
      </c>
      <c r="K64" t="s">
        <v>21</v>
      </c>
      <c r="L64" s="12" t="str">
        <f t="shared" si="0"/>
        <v>6-weeks</v>
      </c>
      <c r="M64" t="str">
        <f t="shared" si="1"/>
        <v>At Risk</v>
      </c>
    </row>
    <row r="65" spans="1:13" x14ac:dyDescent="0.35">
      <c r="A65">
        <v>164</v>
      </c>
      <c r="B65" t="s">
        <v>15</v>
      </c>
      <c r="C65">
        <v>29</v>
      </c>
      <c r="D65" t="s">
        <v>22</v>
      </c>
      <c r="E65" t="s">
        <v>13</v>
      </c>
      <c r="F65" s="2">
        <v>1370.2</v>
      </c>
      <c r="G65">
        <v>18</v>
      </c>
      <c r="H65">
        <v>4.7</v>
      </c>
      <c r="I65" t="b">
        <v>0</v>
      </c>
      <c r="J65" s="12">
        <v>10</v>
      </c>
      <c r="K65" t="s">
        <v>14</v>
      </c>
      <c r="L65" s="12" t="str">
        <f t="shared" si="0"/>
        <v>2-weeks</v>
      </c>
      <c r="M65" t="str">
        <f t="shared" si="1"/>
        <v>No Risk</v>
      </c>
    </row>
    <row r="66" spans="1:13" x14ac:dyDescent="0.35">
      <c r="A66">
        <v>165</v>
      </c>
      <c r="B66" t="s">
        <v>15</v>
      </c>
      <c r="C66">
        <v>26</v>
      </c>
      <c r="D66" t="s">
        <v>23</v>
      </c>
      <c r="E66" t="s">
        <v>17</v>
      </c>
      <c r="F66" s="2">
        <v>690.6</v>
      </c>
      <c r="G66">
        <v>12</v>
      </c>
      <c r="H66">
        <v>3.9</v>
      </c>
      <c r="I66" t="b">
        <v>1</v>
      </c>
      <c r="J66" s="12">
        <v>47</v>
      </c>
      <c r="K66" t="s">
        <v>21</v>
      </c>
      <c r="L66" s="12" t="str">
        <f t="shared" ref="L66:L129" si="2">_xlfn.IFS(J66&lt;=7,"1-week",J66&lt;=14,"2-weeks", J66&lt;=21,"3-weeks",J66&lt;=28,"4-weeks",J66&lt;=35,"5-weeks",J66&lt;=42,"6-weeks",J66&lt;=49,"7-weeks",J66&lt;=56,"8-weeks",J66&lt;=63,"9-weeks")</f>
        <v>7-weeks</v>
      </c>
      <c r="M66" t="str">
        <f t="shared" ref="M66:M129" si="3">IF(J66&gt;28, "At Risk", "No Risk")</f>
        <v>At Risk</v>
      </c>
    </row>
    <row r="67" spans="1:13" x14ac:dyDescent="0.35">
      <c r="A67">
        <v>166</v>
      </c>
      <c r="B67" t="s">
        <v>11</v>
      </c>
      <c r="C67">
        <v>38</v>
      </c>
      <c r="D67" t="s">
        <v>24</v>
      </c>
      <c r="E67" t="s">
        <v>20</v>
      </c>
      <c r="F67" s="2">
        <v>440.9</v>
      </c>
      <c r="G67">
        <v>8</v>
      </c>
      <c r="H67">
        <v>3.2</v>
      </c>
      <c r="I67" t="b">
        <v>0</v>
      </c>
      <c r="J67" s="12">
        <v>24</v>
      </c>
      <c r="K67" t="s">
        <v>18</v>
      </c>
      <c r="L67" s="12" t="str">
        <f t="shared" si="2"/>
        <v>4-weeks</v>
      </c>
      <c r="M67" t="str">
        <f t="shared" si="3"/>
        <v>No Risk</v>
      </c>
    </row>
    <row r="68" spans="1:13" x14ac:dyDescent="0.35">
      <c r="A68">
        <v>167</v>
      </c>
      <c r="B68" t="s">
        <v>11</v>
      </c>
      <c r="C68">
        <v>32</v>
      </c>
      <c r="D68" t="s">
        <v>12</v>
      </c>
      <c r="E68" t="s">
        <v>13</v>
      </c>
      <c r="F68" s="2">
        <v>1160.3</v>
      </c>
      <c r="G68">
        <v>14</v>
      </c>
      <c r="H68">
        <v>4.4000000000000004</v>
      </c>
      <c r="I68" t="b">
        <v>1</v>
      </c>
      <c r="J68" s="12">
        <v>22</v>
      </c>
      <c r="K68" t="s">
        <v>14</v>
      </c>
      <c r="L68" s="12" t="str">
        <f t="shared" si="2"/>
        <v>4-weeks</v>
      </c>
      <c r="M68" t="str">
        <f t="shared" si="3"/>
        <v>No Risk</v>
      </c>
    </row>
    <row r="69" spans="1:13" x14ac:dyDescent="0.35">
      <c r="A69">
        <v>168</v>
      </c>
      <c r="B69" t="s">
        <v>15</v>
      </c>
      <c r="C69">
        <v>34</v>
      </c>
      <c r="D69" t="s">
        <v>16</v>
      </c>
      <c r="E69" t="s">
        <v>17</v>
      </c>
      <c r="F69" s="2">
        <v>800.2</v>
      </c>
      <c r="G69">
        <v>11</v>
      </c>
      <c r="H69">
        <v>4.0999999999999996</v>
      </c>
      <c r="I69" t="b">
        <v>0</v>
      </c>
      <c r="J69" s="12">
        <v>17</v>
      </c>
      <c r="K69" t="s">
        <v>18</v>
      </c>
      <c r="L69" s="12" t="str">
        <f t="shared" si="2"/>
        <v>3-weeks</v>
      </c>
      <c r="M69" t="str">
        <f t="shared" si="3"/>
        <v>No Risk</v>
      </c>
    </row>
    <row r="70" spans="1:13" x14ac:dyDescent="0.35">
      <c r="A70">
        <v>169</v>
      </c>
      <c r="B70" t="s">
        <v>11</v>
      </c>
      <c r="C70">
        <v>43</v>
      </c>
      <c r="D70" t="s">
        <v>19</v>
      </c>
      <c r="E70" t="s">
        <v>20</v>
      </c>
      <c r="F70" s="2">
        <v>500.75</v>
      </c>
      <c r="G70">
        <v>10</v>
      </c>
      <c r="H70">
        <v>3.3</v>
      </c>
      <c r="I70" t="b">
        <v>1</v>
      </c>
      <c r="J70" s="12">
        <v>40</v>
      </c>
      <c r="K70" t="s">
        <v>21</v>
      </c>
      <c r="L70" s="12" t="str">
        <f t="shared" si="2"/>
        <v>6-weeks</v>
      </c>
      <c r="M70" t="str">
        <f t="shared" si="3"/>
        <v>At Risk</v>
      </c>
    </row>
    <row r="71" spans="1:13" x14ac:dyDescent="0.35">
      <c r="A71">
        <v>170</v>
      </c>
      <c r="B71" t="s">
        <v>15</v>
      </c>
      <c r="C71">
        <v>30</v>
      </c>
      <c r="D71" t="s">
        <v>22</v>
      </c>
      <c r="E71" t="s">
        <v>13</v>
      </c>
      <c r="F71" s="2">
        <v>1460.5</v>
      </c>
      <c r="G71">
        <v>20</v>
      </c>
      <c r="H71">
        <v>4.8</v>
      </c>
      <c r="I71" t="b">
        <v>0</v>
      </c>
      <c r="J71" s="12">
        <v>12</v>
      </c>
      <c r="K71" t="s">
        <v>14</v>
      </c>
      <c r="L71" s="12" t="str">
        <f t="shared" si="2"/>
        <v>2-weeks</v>
      </c>
      <c r="M71" t="str">
        <f t="shared" si="3"/>
        <v>No Risk</v>
      </c>
    </row>
    <row r="72" spans="1:13" x14ac:dyDescent="0.35">
      <c r="A72">
        <v>171</v>
      </c>
      <c r="B72" t="s">
        <v>15</v>
      </c>
      <c r="C72">
        <v>27</v>
      </c>
      <c r="D72" t="s">
        <v>23</v>
      </c>
      <c r="E72" t="s">
        <v>17</v>
      </c>
      <c r="F72" s="2">
        <v>700.4</v>
      </c>
      <c r="G72">
        <v>13</v>
      </c>
      <c r="H72">
        <v>4</v>
      </c>
      <c r="I72" t="b">
        <v>1</v>
      </c>
      <c r="J72" s="12">
        <v>53</v>
      </c>
      <c r="K72" t="s">
        <v>21</v>
      </c>
      <c r="L72" s="12" t="str">
        <f t="shared" si="2"/>
        <v>8-weeks</v>
      </c>
      <c r="M72" t="str">
        <f t="shared" si="3"/>
        <v>At Risk</v>
      </c>
    </row>
    <row r="73" spans="1:13" x14ac:dyDescent="0.35">
      <c r="A73">
        <v>172</v>
      </c>
      <c r="B73" t="s">
        <v>11</v>
      </c>
      <c r="C73">
        <v>37</v>
      </c>
      <c r="D73" t="s">
        <v>24</v>
      </c>
      <c r="E73" t="s">
        <v>20</v>
      </c>
      <c r="F73" s="2">
        <v>420.8</v>
      </c>
      <c r="G73">
        <v>7</v>
      </c>
      <c r="H73">
        <v>3.1</v>
      </c>
      <c r="I73" t="b">
        <v>0</v>
      </c>
      <c r="J73" s="12">
        <v>21</v>
      </c>
      <c r="K73" t="s">
        <v>18</v>
      </c>
      <c r="L73" s="12" t="str">
        <f t="shared" si="2"/>
        <v>3-weeks</v>
      </c>
      <c r="M73" t="str">
        <f t="shared" si="3"/>
        <v>No Risk</v>
      </c>
    </row>
    <row r="74" spans="1:13" x14ac:dyDescent="0.35">
      <c r="A74">
        <v>173</v>
      </c>
      <c r="B74" t="s">
        <v>11</v>
      </c>
      <c r="C74">
        <v>31</v>
      </c>
      <c r="D74" t="s">
        <v>12</v>
      </c>
      <c r="E74" t="s">
        <v>13</v>
      </c>
      <c r="F74" s="2">
        <v>1130.5999999999999</v>
      </c>
      <c r="G74">
        <v>15</v>
      </c>
      <c r="H74">
        <v>4.5</v>
      </c>
      <c r="I74" t="b">
        <v>1</v>
      </c>
      <c r="J74" s="12">
        <v>26</v>
      </c>
      <c r="K74" t="s">
        <v>14</v>
      </c>
      <c r="L74" s="12" t="str">
        <f t="shared" si="2"/>
        <v>4-weeks</v>
      </c>
      <c r="M74" t="str">
        <f t="shared" si="3"/>
        <v>No Risk</v>
      </c>
    </row>
    <row r="75" spans="1:13" x14ac:dyDescent="0.35">
      <c r="A75">
        <v>174</v>
      </c>
      <c r="B75" t="s">
        <v>15</v>
      </c>
      <c r="C75">
        <v>35</v>
      </c>
      <c r="D75" t="s">
        <v>16</v>
      </c>
      <c r="E75" t="s">
        <v>17</v>
      </c>
      <c r="F75" s="2">
        <v>820.9</v>
      </c>
      <c r="G75">
        <v>12</v>
      </c>
      <c r="H75">
        <v>4.3</v>
      </c>
      <c r="I75" t="b">
        <v>0</v>
      </c>
      <c r="J75" s="12">
        <v>12</v>
      </c>
      <c r="K75" t="s">
        <v>18</v>
      </c>
      <c r="L75" s="12" t="str">
        <f t="shared" si="2"/>
        <v>2-weeks</v>
      </c>
      <c r="M75" t="str">
        <f t="shared" si="3"/>
        <v>No Risk</v>
      </c>
    </row>
    <row r="76" spans="1:13" x14ac:dyDescent="0.35">
      <c r="A76">
        <v>175</v>
      </c>
      <c r="B76" t="s">
        <v>11</v>
      </c>
      <c r="C76">
        <v>41</v>
      </c>
      <c r="D76" t="s">
        <v>19</v>
      </c>
      <c r="E76" t="s">
        <v>20</v>
      </c>
      <c r="F76" s="2">
        <v>480.25</v>
      </c>
      <c r="G76">
        <v>9</v>
      </c>
      <c r="H76">
        <v>3.6</v>
      </c>
      <c r="I76" t="b">
        <v>1</v>
      </c>
      <c r="J76" s="12">
        <v>38</v>
      </c>
      <c r="K76" t="s">
        <v>21</v>
      </c>
      <c r="L76" s="12" t="str">
        <f t="shared" si="2"/>
        <v>6-weeks</v>
      </c>
      <c r="M76" t="str">
        <f t="shared" si="3"/>
        <v>At Risk</v>
      </c>
    </row>
    <row r="77" spans="1:13" x14ac:dyDescent="0.35">
      <c r="A77">
        <v>176</v>
      </c>
      <c r="B77" t="s">
        <v>15</v>
      </c>
      <c r="C77">
        <v>28</v>
      </c>
      <c r="D77" t="s">
        <v>22</v>
      </c>
      <c r="E77" t="s">
        <v>13</v>
      </c>
      <c r="F77" s="2">
        <v>1490.1</v>
      </c>
      <c r="G77">
        <v>21</v>
      </c>
      <c r="H77">
        <v>4.9000000000000004</v>
      </c>
      <c r="I77" t="b">
        <v>0</v>
      </c>
      <c r="J77" s="12">
        <v>9</v>
      </c>
      <c r="K77" t="s">
        <v>14</v>
      </c>
      <c r="L77" s="12" t="str">
        <f t="shared" si="2"/>
        <v>2-weeks</v>
      </c>
      <c r="M77" t="str">
        <f t="shared" si="3"/>
        <v>No Risk</v>
      </c>
    </row>
    <row r="78" spans="1:13" x14ac:dyDescent="0.35">
      <c r="A78">
        <v>177</v>
      </c>
      <c r="B78" t="s">
        <v>15</v>
      </c>
      <c r="C78">
        <v>32</v>
      </c>
      <c r="D78" t="s">
        <v>23</v>
      </c>
      <c r="E78" t="s">
        <v>17</v>
      </c>
      <c r="F78" s="2">
        <v>680.3</v>
      </c>
      <c r="G78">
        <v>10</v>
      </c>
      <c r="H78">
        <v>3.8</v>
      </c>
      <c r="I78" t="b">
        <v>1</v>
      </c>
      <c r="J78" s="12">
        <v>32</v>
      </c>
      <c r="K78" t="s">
        <v>21</v>
      </c>
      <c r="L78" s="12" t="str">
        <f t="shared" si="2"/>
        <v>5-weeks</v>
      </c>
      <c r="M78" t="str">
        <f t="shared" si="3"/>
        <v>At Risk</v>
      </c>
    </row>
    <row r="79" spans="1:13" x14ac:dyDescent="0.35">
      <c r="A79">
        <v>178</v>
      </c>
      <c r="B79" t="s">
        <v>11</v>
      </c>
      <c r="C79">
        <v>36</v>
      </c>
      <c r="D79" t="s">
        <v>24</v>
      </c>
      <c r="E79" t="s">
        <v>20</v>
      </c>
      <c r="F79" s="2">
        <v>470.5</v>
      </c>
      <c r="G79">
        <v>8</v>
      </c>
      <c r="H79">
        <v>3</v>
      </c>
      <c r="I79" t="b">
        <v>0</v>
      </c>
      <c r="J79" s="12">
        <v>18</v>
      </c>
      <c r="K79" t="s">
        <v>18</v>
      </c>
      <c r="L79" s="12" t="str">
        <f t="shared" si="2"/>
        <v>3-weeks</v>
      </c>
      <c r="M79" t="str">
        <f t="shared" si="3"/>
        <v>No Risk</v>
      </c>
    </row>
    <row r="80" spans="1:13" x14ac:dyDescent="0.35">
      <c r="A80">
        <v>179</v>
      </c>
      <c r="B80" t="s">
        <v>11</v>
      </c>
      <c r="C80">
        <v>30</v>
      </c>
      <c r="D80" t="s">
        <v>12</v>
      </c>
      <c r="E80" t="s">
        <v>13</v>
      </c>
      <c r="F80" s="2">
        <v>1180.8</v>
      </c>
      <c r="G80">
        <v>16</v>
      </c>
      <c r="H80">
        <v>4.7</v>
      </c>
      <c r="I80" t="b">
        <v>1</v>
      </c>
      <c r="J80" s="12">
        <v>19</v>
      </c>
      <c r="K80" t="s">
        <v>14</v>
      </c>
      <c r="L80" s="12" t="str">
        <f t="shared" si="2"/>
        <v>3-weeks</v>
      </c>
      <c r="M80" t="str">
        <f t="shared" si="3"/>
        <v>No Risk</v>
      </c>
    </row>
    <row r="81" spans="1:13" x14ac:dyDescent="0.35">
      <c r="A81">
        <v>180</v>
      </c>
      <c r="B81" t="s">
        <v>15</v>
      </c>
      <c r="C81">
        <v>34</v>
      </c>
      <c r="D81" t="s">
        <v>16</v>
      </c>
      <c r="E81" t="s">
        <v>17</v>
      </c>
      <c r="F81" s="2">
        <v>790.2</v>
      </c>
      <c r="G81">
        <v>11</v>
      </c>
      <c r="H81">
        <v>4</v>
      </c>
      <c r="I81" t="b">
        <v>0</v>
      </c>
      <c r="J81" s="12">
        <v>15</v>
      </c>
      <c r="K81" t="s">
        <v>18</v>
      </c>
      <c r="L81" s="12" t="str">
        <f t="shared" si="2"/>
        <v>3-weeks</v>
      </c>
      <c r="M81" t="str">
        <f t="shared" si="3"/>
        <v>No Risk</v>
      </c>
    </row>
    <row r="82" spans="1:13" x14ac:dyDescent="0.35">
      <c r="A82">
        <v>181</v>
      </c>
      <c r="B82" t="s">
        <v>11</v>
      </c>
      <c r="C82">
        <v>43</v>
      </c>
      <c r="D82" t="s">
        <v>19</v>
      </c>
      <c r="E82" t="s">
        <v>20</v>
      </c>
      <c r="F82" s="2">
        <v>505.75</v>
      </c>
      <c r="G82">
        <v>10</v>
      </c>
      <c r="H82">
        <v>3.3</v>
      </c>
      <c r="I82" t="b">
        <v>1</v>
      </c>
      <c r="J82" s="12">
        <v>39</v>
      </c>
      <c r="K82" t="s">
        <v>21</v>
      </c>
      <c r="L82" s="12" t="str">
        <f t="shared" si="2"/>
        <v>6-weeks</v>
      </c>
      <c r="M82" t="str">
        <f t="shared" si="3"/>
        <v>At Risk</v>
      </c>
    </row>
    <row r="83" spans="1:13" x14ac:dyDescent="0.35">
      <c r="A83">
        <v>182</v>
      </c>
      <c r="B83" t="s">
        <v>15</v>
      </c>
      <c r="C83">
        <v>30</v>
      </c>
      <c r="D83" t="s">
        <v>22</v>
      </c>
      <c r="E83" t="s">
        <v>13</v>
      </c>
      <c r="F83" s="2">
        <v>1470.5</v>
      </c>
      <c r="G83">
        <v>20</v>
      </c>
      <c r="H83">
        <v>4.8</v>
      </c>
      <c r="I83" t="b">
        <v>0</v>
      </c>
      <c r="J83" s="12">
        <v>13</v>
      </c>
      <c r="K83" t="s">
        <v>14</v>
      </c>
      <c r="L83" s="12" t="str">
        <f t="shared" si="2"/>
        <v>2-weeks</v>
      </c>
      <c r="M83" t="str">
        <f t="shared" si="3"/>
        <v>No Risk</v>
      </c>
    </row>
    <row r="84" spans="1:13" x14ac:dyDescent="0.35">
      <c r="A84">
        <v>183</v>
      </c>
      <c r="B84" t="s">
        <v>15</v>
      </c>
      <c r="C84">
        <v>27</v>
      </c>
      <c r="D84" t="s">
        <v>23</v>
      </c>
      <c r="E84" t="s">
        <v>17</v>
      </c>
      <c r="F84" s="2">
        <v>710.4</v>
      </c>
      <c r="G84">
        <v>13</v>
      </c>
      <c r="H84">
        <v>4.0999999999999996</v>
      </c>
      <c r="I84" t="b">
        <v>1</v>
      </c>
      <c r="J84" s="12">
        <v>54</v>
      </c>
      <c r="K84" t="s">
        <v>21</v>
      </c>
      <c r="L84" s="12" t="str">
        <f t="shared" si="2"/>
        <v>8-weeks</v>
      </c>
      <c r="M84" t="str">
        <f t="shared" si="3"/>
        <v>At Risk</v>
      </c>
    </row>
    <row r="85" spans="1:13" x14ac:dyDescent="0.35">
      <c r="A85">
        <v>184</v>
      </c>
      <c r="B85" t="s">
        <v>11</v>
      </c>
      <c r="C85">
        <v>37</v>
      </c>
      <c r="D85" t="s">
        <v>24</v>
      </c>
      <c r="E85" t="s">
        <v>20</v>
      </c>
      <c r="F85" s="2">
        <v>430.8</v>
      </c>
      <c r="G85">
        <v>7</v>
      </c>
      <c r="H85">
        <v>3.4</v>
      </c>
      <c r="I85" t="b">
        <v>0</v>
      </c>
      <c r="J85" s="12">
        <v>23</v>
      </c>
      <c r="K85" t="s">
        <v>18</v>
      </c>
      <c r="L85" s="12" t="str">
        <f t="shared" si="2"/>
        <v>4-weeks</v>
      </c>
      <c r="M85" t="str">
        <f t="shared" si="3"/>
        <v>No Risk</v>
      </c>
    </row>
    <row r="86" spans="1:13" x14ac:dyDescent="0.35">
      <c r="A86">
        <v>185</v>
      </c>
      <c r="B86" t="s">
        <v>11</v>
      </c>
      <c r="C86">
        <v>31</v>
      </c>
      <c r="D86" t="s">
        <v>12</v>
      </c>
      <c r="E86" t="s">
        <v>13</v>
      </c>
      <c r="F86" s="2">
        <v>1140.5999999999999</v>
      </c>
      <c r="G86">
        <v>15</v>
      </c>
      <c r="H86">
        <v>4.5999999999999996</v>
      </c>
      <c r="I86" t="b">
        <v>1</v>
      </c>
      <c r="J86" s="12">
        <v>27</v>
      </c>
      <c r="K86" t="s">
        <v>14</v>
      </c>
      <c r="L86" s="12" t="str">
        <f t="shared" si="2"/>
        <v>4-weeks</v>
      </c>
      <c r="M86" t="str">
        <f t="shared" si="3"/>
        <v>No Risk</v>
      </c>
    </row>
    <row r="87" spans="1:13" x14ac:dyDescent="0.35">
      <c r="A87">
        <v>186</v>
      </c>
      <c r="B87" t="s">
        <v>15</v>
      </c>
      <c r="C87">
        <v>35</v>
      </c>
      <c r="D87" t="s">
        <v>16</v>
      </c>
      <c r="E87" t="s">
        <v>17</v>
      </c>
      <c r="F87" s="2">
        <v>810.9</v>
      </c>
      <c r="G87">
        <v>12</v>
      </c>
      <c r="H87">
        <v>4.3</v>
      </c>
      <c r="I87" t="b">
        <v>0</v>
      </c>
      <c r="J87" s="12">
        <v>13</v>
      </c>
      <c r="K87" t="s">
        <v>18</v>
      </c>
      <c r="L87" s="12" t="str">
        <f t="shared" si="2"/>
        <v>2-weeks</v>
      </c>
      <c r="M87" t="str">
        <f t="shared" si="3"/>
        <v>No Risk</v>
      </c>
    </row>
    <row r="88" spans="1:13" x14ac:dyDescent="0.35">
      <c r="A88">
        <v>187</v>
      </c>
      <c r="B88" t="s">
        <v>11</v>
      </c>
      <c r="C88">
        <v>41</v>
      </c>
      <c r="D88" t="s">
        <v>19</v>
      </c>
      <c r="E88" t="s">
        <v>20</v>
      </c>
      <c r="F88" s="2">
        <v>485.25</v>
      </c>
      <c r="G88">
        <v>9</v>
      </c>
      <c r="H88">
        <v>3.6</v>
      </c>
      <c r="I88" t="b">
        <v>1</v>
      </c>
      <c r="J88" s="12">
        <v>39</v>
      </c>
      <c r="K88" t="s">
        <v>21</v>
      </c>
      <c r="L88" s="12" t="str">
        <f t="shared" si="2"/>
        <v>6-weeks</v>
      </c>
      <c r="M88" t="str">
        <f t="shared" si="3"/>
        <v>At Risk</v>
      </c>
    </row>
    <row r="89" spans="1:13" x14ac:dyDescent="0.35">
      <c r="A89">
        <v>188</v>
      </c>
      <c r="B89" t="s">
        <v>15</v>
      </c>
      <c r="C89">
        <v>28</v>
      </c>
      <c r="D89" t="s">
        <v>22</v>
      </c>
      <c r="E89" t="s">
        <v>13</v>
      </c>
      <c r="F89" s="2">
        <v>1500.1</v>
      </c>
      <c r="G89">
        <v>21</v>
      </c>
      <c r="H89">
        <v>4.9000000000000004</v>
      </c>
      <c r="I89" t="b">
        <v>0</v>
      </c>
      <c r="J89" s="12">
        <v>10</v>
      </c>
      <c r="K89" t="s">
        <v>14</v>
      </c>
      <c r="L89" s="12" t="str">
        <f t="shared" si="2"/>
        <v>2-weeks</v>
      </c>
      <c r="M89" t="str">
        <f t="shared" si="3"/>
        <v>No Risk</v>
      </c>
    </row>
    <row r="90" spans="1:13" x14ac:dyDescent="0.35">
      <c r="A90">
        <v>189</v>
      </c>
      <c r="B90" t="s">
        <v>15</v>
      </c>
      <c r="C90">
        <v>32</v>
      </c>
      <c r="D90" t="s">
        <v>23</v>
      </c>
      <c r="E90" t="s">
        <v>17</v>
      </c>
      <c r="F90" s="2">
        <v>670.3</v>
      </c>
      <c r="G90">
        <v>10</v>
      </c>
      <c r="H90">
        <v>3.8</v>
      </c>
      <c r="I90" t="b">
        <v>1</v>
      </c>
      <c r="J90" s="12">
        <v>33</v>
      </c>
      <c r="K90" t="s">
        <v>21</v>
      </c>
      <c r="L90" s="12" t="str">
        <f t="shared" si="2"/>
        <v>5-weeks</v>
      </c>
      <c r="M90" t="str">
        <f t="shared" si="3"/>
        <v>At Risk</v>
      </c>
    </row>
    <row r="91" spans="1:13" x14ac:dyDescent="0.35">
      <c r="A91">
        <v>190</v>
      </c>
      <c r="B91" t="s">
        <v>11</v>
      </c>
      <c r="C91">
        <v>36</v>
      </c>
      <c r="D91" t="s">
        <v>24</v>
      </c>
      <c r="E91" t="s">
        <v>20</v>
      </c>
      <c r="F91" s="2">
        <v>460.5</v>
      </c>
      <c r="G91">
        <v>8</v>
      </c>
      <c r="H91">
        <v>3.1</v>
      </c>
      <c r="I91" t="b">
        <v>0</v>
      </c>
      <c r="J91" s="12">
        <v>19</v>
      </c>
      <c r="K91" t="s">
        <v>18</v>
      </c>
      <c r="L91" s="12" t="str">
        <f t="shared" si="2"/>
        <v>3-weeks</v>
      </c>
      <c r="M91" t="str">
        <f t="shared" si="3"/>
        <v>No Risk</v>
      </c>
    </row>
    <row r="92" spans="1:13" x14ac:dyDescent="0.35">
      <c r="A92">
        <v>191</v>
      </c>
      <c r="B92" t="s">
        <v>11</v>
      </c>
      <c r="C92">
        <v>30</v>
      </c>
      <c r="D92" t="s">
        <v>12</v>
      </c>
      <c r="E92" t="s">
        <v>13</v>
      </c>
      <c r="F92" s="2">
        <v>1190.8</v>
      </c>
      <c r="G92">
        <v>16</v>
      </c>
      <c r="H92">
        <v>4.5</v>
      </c>
      <c r="I92" t="b">
        <v>1</v>
      </c>
      <c r="J92" s="12">
        <v>20</v>
      </c>
      <c r="K92" t="s">
        <v>14</v>
      </c>
      <c r="L92" s="12" t="str">
        <f t="shared" si="2"/>
        <v>3-weeks</v>
      </c>
      <c r="M92" t="str">
        <f t="shared" si="3"/>
        <v>No Risk</v>
      </c>
    </row>
    <row r="93" spans="1:13" x14ac:dyDescent="0.35">
      <c r="A93">
        <v>192</v>
      </c>
      <c r="B93" t="s">
        <v>15</v>
      </c>
      <c r="C93">
        <v>33</v>
      </c>
      <c r="D93" t="s">
        <v>16</v>
      </c>
      <c r="E93" t="s">
        <v>17</v>
      </c>
      <c r="F93" s="2">
        <v>830.75</v>
      </c>
      <c r="G93">
        <v>13</v>
      </c>
      <c r="H93">
        <v>4.2</v>
      </c>
      <c r="I93" t="b">
        <v>0</v>
      </c>
      <c r="J93" s="12">
        <v>14</v>
      </c>
      <c r="K93" t="s">
        <v>14</v>
      </c>
      <c r="L93" s="12" t="str">
        <f t="shared" si="2"/>
        <v>2-weeks</v>
      </c>
      <c r="M93" t="str">
        <f t="shared" si="3"/>
        <v>No Risk</v>
      </c>
    </row>
    <row r="94" spans="1:13" x14ac:dyDescent="0.35">
      <c r="A94">
        <v>193</v>
      </c>
      <c r="B94" t="s">
        <v>11</v>
      </c>
      <c r="C94">
        <v>42</v>
      </c>
      <c r="D94" t="s">
        <v>19</v>
      </c>
      <c r="E94" t="s">
        <v>20</v>
      </c>
      <c r="F94" s="2">
        <v>520.4</v>
      </c>
      <c r="G94">
        <v>9</v>
      </c>
      <c r="H94">
        <v>3.5</v>
      </c>
      <c r="I94" t="b">
        <v>1</v>
      </c>
      <c r="J94" s="12">
        <v>37</v>
      </c>
      <c r="K94" t="s">
        <v>21</v>
      </c>
      <c r="L94" s="12" t="str">
        <f t="shared" si="2"/>
        <v>6-weeks</v>
      </c>
      <c r="M94" t="str">
        <f t="shared" si="3"/>
        <v>At Risk</v>
      </c>
    </row>
    <row r="95" spans="1:13" x14ac:dyDescent="0.35">
      <c r="A95">
        <v>194</v>
      </c>
      <c r="B95" t="s">
        <v>15</v>
      </c>
      <c r="C95">
        <v>29</v>
      </c>
      <c r="D95" t="s">
        <v>22</v>
      </c>
      <c r="E95" t="s">
        <v>13</v>
      </c>
      <c r="F95" s="2">
        <v>1370.2</v>
      </c>
      <c r="G95">
        <v>18</v>
      </c>
      <c r="H95">
        <v>4.7</v>
      </c>
      <c r="I95" t="b">
        <v>0</v>
      </c>
      <c r="J95" s="12">
        <v>10</v>
      </c>
      <c r="K95" t="s">
        <v>14</v>
      </c>
      <c r="L95" s="12" t="str">
        <f t="shared" si="2"/>
        <v>2-weeks</v>
      </c>
      <c r="M95" t="str">
        <f t="shared" si="3"/>
        <v>No Risk</v>
      </c>
    </row>
    <row r="96" spans="1:13" x14ac:dyDescent="0.35">
      <c r="A96">
        <v>195</v>
      </c>
      <c r="B96" t="s">
        <v>15</v>
      </c>
      <c r="C96">
        <v>26</v>
      </c>
      <c r="D96" t="s">
        <v>23</v>
      </c>
      <c r="E96" t="s">
        <v>17</v>
      </c>
      <c r="F96" s="2">
        <v>690.6</v>
      </c>
      <c r="G96">
        <v>12</v>
      </c>
      <c r="H96">
        <v>3.9</v>
      </c>
      <c r="I96" t="b">
        <v>1</v>
      </c>
      <c r="J96" s="12">
        <v>47</v>
      </c>
      <c r="K96" t="s">
        <v>21</v>
      </c>
      <c r="L96" s="12" t="str">
        <f t="shared" si="2"/>
        <v>7-weeks</v>
      </c>
      <c r="M96" t="str">
        <f t="shared" si="3"/>
        <v>At Risk</v>
      </c>
    </row>
    <row r="97" spans="1:13" x14ac:dyDescent="0.35">
      <c r="A97">
        <v>196</v>
      </c>
      <c r="B97" t="s">
        <v>11</v>
      </c>
      <c r="C97">
        <v>38</v>
      </c>
      <c r="D97" t="s">
        <v>24</v>
      </c>
      <c r="E97" t="s">
        <v>20</v>
      </c>
      <c r="F97" s="2">
        <v>440.9</v>
      </c>
      <c r="G97">
        <v>8</v>
      </c>
      <c r="H97">
        <v>3.2</v>
      </c>
      <c r="I97" t="b">
        <v>0</v>
      </c>
      <c r="J97" s="12">
        <v>24</v>
      </c>
      <c r="K97" t="s">
        <v>18</v>
      </c>
      <c r="L97" s="12" t="str">
        <f t="shared" si="2"/>
        <v>4-weeks</v>
      </c>
      <c r="M97" t="str">
        <f t="shared" si="3"/>
        <v>No Risk</v>
      </c>
    </row>
    <row r="98" spans="1:13" x14ac:dyDescent="0.35">
      <c r="A98">
        <v>197</v>
      </c>
      <c r="B98" t="s">
        <v>11</v>
      </c>
      <c r="C98">
        <v>32</v>
      </c>
      <c r="D98" t="s">
        <v>12</v>
      </c>
      <c r="E98" t="s">
        <v>13</v>
      </c>
      <c r="F98" s="2">
        <v>1160.3</v>
      </c>
      <c r="G98">
        <v>14</v>
      </c>
      <c r="H98">
        <v>4.4000000000000004</v>
      </c>
      <c r="I98" t="b">
        <v>1</v>
      </c>
      <c r="J98" s="12">
        <v>22</v>
      </c>
      <c r="K98" t="s">
        <v>14</v>
      </c>
      <c r="L98" s="12" t="str">
        <f t="shared" si="2"/>
        <v>4-weeks</v>
      </c>
      <c r="M98" t="str">
        <f t="shared" si="3"/>
        <v>No Risk</v>
      </c>
    </row>
    <row r="99" spans="1:13" x14ac:dyDescent="0.35">
      <c r="A99">
        <v>198</v>
      </c>
      <c r="B99" t="s">
        <v>15</v>
      </c>
      <c r="C99">
        <v>34</v>
      </c>
      <c r="D99" t="s">
        <v>16</v>
      </c>
      <c r="E99" t="s">
        <v>17</v>
      </c>
      <c r="F99" s="2">
        <v>800.2</v>
      </c>
      <c r="G99">
        <v>11</v>
      </c>
      <c r="H99">
        <v>4.0999999999999996</v>
      </c>
      <c r="I99" t="b">
        <v>0</v>
      </c>
      <c r="J99" s="12">
        <v>17</v>
      </c>
      <c r="K99" t="s">
        <v>18</v>
      </c>
      <c r="L99" s="12" t="str">
        <f t="shared" si="2"/>
        <v>3-weeks</v>
      </c>
      <c r="M99" t="str">
        <f t="shared" si="3"/>
        <v>No Risk</v>
      </c>
    </row>
    <row r="100" spans="1:13" x14ac:dyDescent="0.35">
      <c r="A100">
        <v>199</v>
      </c>
      <c r="B100" t="s">
        <v>11</v>
      </c>
      <c r="C100">
        <v>43</v>
      </c>
      <c r="D100" t="s">
        <v>19</v>
      </c>
      <c r="E100" t="s">
        <v>20</v>
      </c>
      <c r="F100" s="2">
        <v>500.75</v>
      </c>
      <c r="G100">
        <v>10</v>
      </c>
      <c r="H100">
        <v>3.3</v>
      </c>
      <c r="I100" t="b">
        <v>1</v>
      </c>
      <c r="J100" s="12">
        <v>40</v>
      </c>
      <c r="K100" t="s">
        <v>21</v>
      </c>
      <c r="L100" s="12" t="str">
        <f t="shared" si="2"/>
        <v>6-weeks</v>
      </c>
      <c r="M100" t="str">
        <f t="shared" si="3"/>
        <v>At Risk</v>
      </c>
    </row>
    <row r="101" spans="1:13" x14ac:dyDescent="0.35">
      <c r="A101">
        <v>200</v>
      </c>
      <c r="B101" t="s">
        <v>15</v>
      </c>
      <c r="C101">
        <v>30</v>
      </c>
      <c r="D101" t="s">
        <v>22</v>
      </c>
      <c r="E101" t="s">
        <v>13</v>
      </c>
      <c r="F101" s="2">
        <v>1460.5</v>
      </c>
      <c r="G101">
        <v>20</v>
      </c>
      <c r="H101">
        <v>4.8</v>
      </c>
      <c r="I101" t="b">
        <v>0</v>
      </c>
      <c r="J101" s="12">
        <v>12</v>
      </c>
      <c r="K101" t="s">
        <v>14</v>
      </c>
      <c r="L101" s="12" t="str">
        <f t="shared" si="2"/>
        <v>2-weeks</v>
      </c>
      <c r="M101" t="str">
        <f t="shared" si="3"/>
        <v>No Risk</v>
      </c>
    </row>
    <row r="102" spans="1:13" x14ac:dyDescent="0.35">
      <c r="A102">
        <v>201</v>
      </c>
      <c r="B102" t="s">
        <v>15</v>
      </c>
      <c r="C102">
        <v>27</v>
      </c>
      <c r="D102" t="s">
        <v>23</v>
      </c>
      <c r="E102" t="s">
        <v>17</v>
      </c>
      <c r="F102" s="2">
        <v>700.4</v>
      </c>
      <c r="G102">
        <v>13</v>
      </c>
      <c r="H102">
        <v>4</v>
      </c>
      <c r="I102" t="b">
        <v>1</v>
      </c>
      <c r="J102" s="12">
        <v>53</v>
      </c>
      <c r="K102" t="s">
        <v>21</v>
      </c>
      <c r="L102" s="12" t="str">
        <f t="shared" si="2"/>
        <v>8-weeks</v>
      </c>
      <c r="M102" t="str">
        <f t="shared" si="3"/>
        <v>At Risk</v>
      </c>
    </row>
    <row r="103" spans="1:13" x14ac:dyDescent="0.35">
      <c r="A103">
        <v>202</v>
      </c>
      <c r="B103" t="s">
        <v>11</v>
      </c>
      <c r="C103">
        <v>37</v>
      </c>
      <c r="D103" t="s">
        <v>24</v>
      </c>
      <c r="E103" t="s">
        <v>20</v>
      </c>
      <c r="F103" s="2">
        <v>420.8</v>
      </c>
      <c r="G103">
        <v>7</v>
      </c>
      <c r="H103">
        <v>3.1</v>
      </c>
      <c r="I103" t="b">
        <v>0</v>
      </c>
      <c r="J103" s="12">
        <v>21</v>
      </c>
      <c r="K103" t="s">
        <v>18</v>
      </c>
      <c r="L103" s="12" t="str">
        <f t="shared" si="2"/>
        <v>3-weeks</v>
      </c>
      <c r="M103" t="str">
        <f t="shared" si="3"/>
        <v>No Risk</v>
      </c>
    </row>
    <row r="104" spans="1:13" x14ac:dyDescent="0.35">
      <c r="A104">
        <v>203</v>
      </c>
      <c r="B104" t="s">
        <v>11</v>
      </c>
      <c r="C104">
        <v>31</v>
      </c>
      <c r="D104" t="s">
        <v>12</v>
      </c>
      <c r="E104" t="s">
        <v>13</v>
      </c>
      <c r="F104" s="2">
        <v>1130.5999999999999</v>
      </c>
      <c r="G104">
        <v>15</v>
      </c>
      <c r="H104">
        <v>4.5</v>
      </c>
      <c r="I104" t="b">
        <v>1</v>
      </c>
      <c r="J104" s="12">
        <v>26</v>
      </c>
      <c r="K104" t="s">
        <v>14</v>
      </c>
      <c r="L104" s="12" t="str">
        <f t="shared" si="2"/>
        <v>4-weeks</v>
      </c>
      <c r="M104" t="str">
        <f t="shared" si="3"/>
        <v>No Risk</v>
      </c>
    </row>
    <row r="105" spans="1:13" x14ac:dyDescent="0.35">
      <c r="A105">
        <v>204</v>
      </c>
      <c r="B105" t="s">
        <v>15</v>
      </c>
      <c r="C105">
        <v>35</v>
      </c>
      <c r="D105" t="s">
        <v>16</v>
      </c>
      <c r="E105" t="s">
        <v>17</v>
      </c>
      <c r="F105" s="2">
        <v>820.9</v>
      </c>
      <c r="G105">
        <v>12</v>
      </c>
      <c r="H105">
        <v>4.3</v>
      </c>
      <c r="I105" t="b">
        <v>0</v>
      </c>
      <c r="J105" s="12">
        <v>12</v>
      </c>
      <c r="K105" t="s">
        <v>18</v>
      </c>
      <c r="L105" s="12" t="str">
        <f t="shared" si="2"/>
        <v>2-weeks</v>
      </c>
      <c r="M105" t="str">
        <f t="shared" si="3"/>
        <v>No Risk</v>
      </c>
    </row>
    <row r="106" spans="1:13" x14ac:dyDescent="0.35">
      <c r="A106">
        <v>205</v>
      </c>
      <c r="B106" t="s">
        <v>11</v>
      </c>
      <c r="C106">
        <v>41</v>
      </c>
      <c r="D106" t="s">
        <v>19</v>
      </c>
      <c r="E106" t="s">
        <v>20</v>
      </c>
      <c r="F106" s="2">
        <v>480.25</v>
      </c>
      <c r="G106">
        <v>9</v>
      </c>
      <c r="H106">
        <v>3.6</v>
      </c>
      <c r="I106" t="b">
        <v>1</v>
      </c>
      <c r="J106" s="12">
        <v>38</v>
      </c>
      <c r="K106" t="s">
        <v>21</v>
      </c>
      <c r="L106" s="12" t="str">
        <f t="shared" si="2"/>
        <v>6-weeks</v>
      </c>
      <c r="M106" t="str">
        <f t="shared" si="3"/>
        <v>At Risk</v>
      </c>
    </row>
    <row r="107" spans="1:13" x14ac:dyDescent="0.35">
      <c r="A107">
        <v>206</v>
      </c>
      <c r="B107" t="s">
        <v>15</v>
      </c>
      <c r="C107">
        <v>28</v>
      </c>
      <c r="D107" t="s">
        <v>22</v>
      </c>
      <c r="E107" t="s">
        <v>13</v>
      </c>
      <c r="F107" s="2">
        <v>1490.1</v>
      </c>
      <c r="G107">
        <v>21</v>
      </c>
      <c r="H107">
        <v>4.9000000000000004</v>
      </c>
      <c r="I107" t="b">
        <v>0</v>
      </c>
      <c r="J107" s="12">
        <v>9</v>
      </c>
      <c r="K107" t="s">
        <v>14</v>
      </c>
      <c r="L107" s="12" t="str">
        <f t="shared" si="2"/>
        <v>2-weeks</v>
      </c>
      <c r="M107" t="str">
        <f t="shared" si="3"/>
        <v>No Risk</v>
      </c>
    </row>
    <row r="108" spans="1:13" x14ac:dyDescent="0.35">
      <c r="A108">
        <v>207</v>
      </c>
      <c r="B108" t="s">
        <v>15</v>
      </c>
      <c r="C108">
        <v>32</v>
      </c>
      <c r="D108" t="s">
        <v>23</v>
      </c>
      <c r="E108" t="s">
        <v>17</v>
      </c>
      <c r="F108" s="2">
        <v>680.3</v>
      </c>
      <c r="G108">
        <v>10</v>
      </c>
      <c r="H108">
        <v>3.8</v>
      </c>
      <c r="I108" t="b">
        <v>1</v>
      </c>
      <c r="J108" s="12">
        <v>32</v>
      </c>
      <c r="K108" t="s">
        <v>21</v>
      </c>
      <c r="L108" s="12" t="str">
        <f t="shared" si="2"/>
        <v>5-weeks</v>
      </c>
      <c r="M108" t="str">
        <f t="shared" si="3"/>
        <v>At Risk</v>
      </c>
    </row>
    <row r="109" spans="1:13" x14ac:dyDescent="0.35">
      <c r="A109">
        <v>208</v>
      </c>
      <c r="B109" t="s">
        <v>11</v>
      </c>
      <c r="C109">
        <v>36</v>
      </c>
      <c r="D109" t="s">
        <v>24</v>
      </c>
      <c r="E109" t="s">
        <v>20</v>
      </c>
      <c r="F109" s="2">
        <v>470.5</v>
      </c>
      <c r="G109">
        <v>8</v>
      </c>
      <c r="H109">
        <v>3</v>
      </c>
      <c r="I109" t="b">
        <v>0</v>
      </c>
      <c r="J109" s="12">
        <v>18</v>
      </c>
      <c r="K109" t="s">
        <v>18</v>
      </c>
      <c r="L109" s="12" t="str">
        <f t="shared" si="2"/>
        <v>3-weeks</v>
      </c>
      <c r="M109" t="str">
        <f t="shared" si="3"/>
        <v>No Risk</v>
      </c>
    </row>
    <row r="110" spans="1:13" x14ac:dyDescent="0.35">
      <c r="A110">
        <v>209</v>
      </c>
      <c r="B110" t="s">
        <v>11</v>
      </c>
      <c r="C110">
        <v>30</v>
      </c>
      <c r="D110" t="s">
        <v>12</v>
      </c>
      <c r="E110" t="s">
        <v>13</v>
      </c>
      <c r="F110" s="2">
        <v>1180.8</v>
      </c>
      <c r="G110">
        <v>16</v>
      </c>
      <c r="H110">
        <v>4.7</v>
      </c>
      <c r="I110" t="b">
        <v>1</v>
      </c>
      <c r="J110" s="12">
        <v>19</v>
      </c>
      <c r="K110" t="s">
        <v>14</v>
      </c>
      <c r="L110" s="12" t="str">
        <f t="shared" si="2"/>
        <v>3-weeks</v>
      </c>
      <c r="M110" t="str">
        <f t="shared" si="3"/>
        <v>No Risk</v>
      </c>
    </row>
    <row r="111" spans="1:13" x14ac:dyDescent="0.35">
      <c r="A111">
        <v>210</v>
      </c>
      <c r="B111" t="s">
        <v>15</v>
      </c>
      <c r="C111">
        <v>34</v>
      </c>
      <c r="D111" t="s">
        <v>16</v>
      </c>
      <c r="E111" t="s">
        <v>17</v>
      </c>
      <c r="F111" s="2">
        <v>790.2</v>
      </c>
      <c r="G111">
        <v>11</v>
      </c>
      <c r="H111">
        <v>4</v>
      </c>
      <c r="I111" t="b">
        <v>0</v>
      </c>
      <c r="J111" s="12">
        <v>15</v>
      </c>
      <c r="K111" t="s">
        <v>18</v>
      </c>
      <c r="L111" s="12" t="str">
        <f t="shared" si="2"/>
        <v>3-weeks</v>
      </c>
      <c r="M111" t="str">
        <f t="shared" si="3"/>
        <v>No Risk</v>
      </c>
    </row>
    <row r="112" spans="1:13" x14ac:dyDescent="0.35">
      <c r="A112">
        <v>211</v>
      </c>
      <c r="B112" t="s">
        <v>11</v>
      </c>
      <c r="C112">
        <v>43</v>
      </c>
      <c r="D112" t="s">
        <v>19</v>
      </c>
      <c r="E112" t="s">
        <v>20</v>
      </c>
      <c r="F112" s="2">
        <v>505.75</v>
      </c>
      <c r="G112">
        <v>10</v>
      </c>
      <c r="H112">
        <v>3.3</v>
      </c>
      <c r="I112" t="b">
        <v>1</v>
      </c>
      <c r="J112" s="12">
        <v>39</v>
      </c>
      <c r="K112" t="s">
        <v>21</v>
      </c>
      <c r="L112" s="12" t="str">
        <f t="shared" si="2"/>
        <v>6-weeks</v>
      </c>
      <c r="M112" t="str">
        <f t="shared" si="3"/>
        <v>At Risk</v>
      </c>
    </row>
    <row r="113" spans="1:13" x14ac:dyDescent="0.35">
      <c r="A113">
        <v>212</v>
      </c>
      <c r="B113" t="s">
        <v>15</v>
      </c>
      <c r="C113">
        <v>30</v>
      </c>
      <c r="D113" t="s">
        <v>22</v>
      </c>
      <c r="E113" t="s">
        <v>13</v>
      </c>
      <c r="F113" s="2">
        <v>1470.5</v>
      </c>
      <c r="G113">
        <v>20</v>
      </c>
      <c r="H113">
        <v>4.8</v>
      </c>
      <c r="I113" t="b">
        <v>0</v>
      </c>
      <c r="J113" s="12">
        <v>13</v>
      </c>
      <c r="K113" t="s">
        <v>14</v>
      </c>
      <c r="L113" s="12" t="str">
        <f t="shared" si="2"/>
        <v>2-weeks</v>
      </c>
      <c r="M113" t="str">
        <f t="shared" si="3"/>
        <v>No Risk</v>
      </c>
    </row>
    <row r="114" spans="1:13" x14ac:dyDescent="0.35">
      <c r="A114">
        <v>213</v>
      </c>
      <c r="B114" t="s">
        <v>15</v>
      </c>
      <c r="C114">
        <v>27</v>
      </c>
      <c r="D114" t="s">
        <v>23</v>
      </c>
      <c r="E114" t="s">
        <v>17</v>
      </c>
      <c r="F114" s="2">
        <v>710.4</v>
      </c>
      <c r="G114">
        <v>13</v>
      </c>
      <c r="H114">
        <v>4.0999999999999996</v>
      </c>
      <c r="I114" t="b">
        <v>1</v>
      </c>
      <c r="J114" s="12">
        <v>54</v>
      </c>
      <c r="K114" t="s">
        <v>21</v>
      </c>
      <c r="L114" s="12" t="str">
        <f t="shared" si="2"/>
        <v>8-weeks</v>
      </c>
      <c r="M114" t="str">
        <f t="shared" si="3"/>
        <v>At Risk</v>
      </c>
    </row>
    <row r="115" spans="1:13" x14ac:dyDescent="0.35">
      <c r="A115">
        <v>214</v>
      </c>
      <c r="B115" t="s">
        <v>11</v>
      </c>
      <c r="C115">
        <v>37</v>
      </c>
      <c r="D115" t="s">
        <v>24</v>
      </c>
      <c r="E115" t="s">
        <v>20</v>
      </c>
      <c r="F115" s="2">
        <v>430.8</v>
      </c>
      <c r="G115">
        <v>7</v>
      </c>
      <c r="H115">
        <v>3.4</v>
      </c>
      <c r="I115" t="b">
        <v>0</v>
      </c>
      <c r="J115" s="12">
        <v>23</v>
      </c>
      <c r="K115" t="s">
        <v>18</v>
      </c>
      <c r="L115" s="12" t="str">
        <f t="shared" si="2"/>
        <v>4-weeks</v>
      </c>
      <c r="M115" t="str">
        <f t="shared" si="3"/>
        <v>No Risk</v>
      </c>
    </row>
    <row r="116" spans="1:13" x14ac:dyDescent="0.35">
      <c r="A116">
        <v>215</v>
      </c>
      <c r="B116" t="s">
        <v>11</v>
      </c>
      <c r="C116">
        <v>31</v>
      </c>
      <c r="D116" t="s">
        <v>12</v>
      </c>
      <c r="E116" t="s">
        <v>13</v>
      </c>
      <c r="F116" s="2">
        <v>1140.5999999999999</v>
      </c>
      <c r="G116">
        <v>15</v>
      </c>
      <c r="H116">
        <v>4.5999999999999996</v>
      </c>
      <c r="I116" t="b">
        <v>1</v>
      </c>
      <c r="J116" s="12">
        <v>27</v>
      </c>
      <c r="K116" t="s">
        <v>14</v>
      </c>
      <c r="L116" s="12" t="str">
        <f t="shared" si="2"/>
        <v>4-weeks</v>
      </c>
      <c r="M116" t="str">
        <f t="shared" si="3"/>
        <v>No Risk</v>
      </c>
    </row>
    <row r="117" spans="1:13" x14ac:dyDescent="0.35">
      <c r="A117">
        <v>216</v>
      </c>
      <c r="B117" t="s">
        <v>15</v>
      </c>
      <c r="C117">
        <v>35</v>
      </c>
      <c r="D117" t="s">
        <v>16</v>
      </c>
      <c r="E117" t="s">
        <v>17</v>
      </c>
      <c r="F117" s="2">
        <v>810.9</v>
      </c>
      <c r="G117">
        <v>12</v>
      </c>
      <c r="H117">
        <v>4.3</v>
      </c>
      <c r="I117" t="b">
        <v>0</v>
      </c>
      <c r="J117" s="12">
        <v>13</v>
      </c>
      <c r="K117" t="s">
        <v>18</v>
      </c>
      <c r="L117" s="12" t="str">
        <f t="shared" si="2"/>
        <v>2-weeks</v>
      </c>
      <c r="M117" t="str">
        <f t="shared" si="3"/>
        <v>No Risk</v>
      </c>
    </row>
    <row r="118" spans="1:13" x14ac:dyDescent="0.35">
      <c r="A118">
        <v>217</v>
      </c>
      <c r="B118" t="s">
        <v>11</v>
      </c>
      <c r="C118">
        <v>41</v>
      </c>
      <c r="D118" t="s">
        <v>19</v>
      </c>
      <c r="E118" t="s">
        <v>20</v>
      </c>
      <c r="F118" s="2">
        <v>485.25</v>
      </c>
      <c r="G118">
        <v>9</v>
      </c>
      <c r="H118">
        <v>3.6</v>
      </c>
      <c r="I118" t="b">
        <v>1</v>
      </c>
      <c r="J118" s="12">
        <v>39</v>
      </c>
      <c r="K118" t="s">
        <v>21</v>
      </c>
      <c r="L118" s="12" t="str">
        <f t="shared" si="2"/>
        <v>6-weeks</v>
      </c>
      <c r="M118" t="str">
        <f t="shared" si="3"/>
        <v>At Risk</v>
      </c>
    </row>
    <row r="119" spans="1:13" x14ac:dyDescent="0.35">
      <c r="A119">
        <v>218</v>
      </c>
      <c r="B119" t="s">
        <v>15</v>
      </c>
      <c r="C119">
        <v>28</v>
      </c>
      <c r="D119" t="s">
        <v>22</v>
      </c>
      <c r="E119" t="s">
        <v>13</v>
      </c>
      <c r="F119" s="2">
        <v>1500.1</v>
      </c>
      <c r="G119">
        <v>21</v>
      </c>
      <c r="H119">
        <v>4.9000000000000004</v>
      </c>
      <c r="I119" t="b">
        <v>0</v>
      </c>
      <c r="J119" s="12">
        <v>10</v>
      </c>
      <c r="K119" t="s">
        <v>14</v>
      </c>
      <c r="L119" s="12" t="str">
        <f t="shared" si="2"/>
        <v>2-weeks</v>
      </c>
      <c r="M119" t="str">
        <f t="shared" si="3"/>
        <v>No Risk</v>
      </c>
    </row>
    <row r="120" spans="1:13" x14ac:dyDescent="0.35">
      <c r="A120">
        <v>219</v>
      </c>
      <c r="B120" t="s">
        <v>15</v>
      </c>
      <c r="C120">
        <v>32</v>
      </c>
      <c r="D120" t="s">
        <v>23</v>
      </c>
      <c r="E120" t="s">
        <v>17</v>
      </c>
      <c r="F120" s="2">
        <v>670.3</v>
      </c>
      <c r="G120">
        <v>10</v>
      </c>
      <c r="H120">
        <v>3.8</v>
      </c>
      <c r="I120" t="b">
        <v>1</v>
      </c>
      <c r="J120" s="12">
        <v>33</v>
      </c>
      <c r="K120" t="s">
        <v>21</v>
      </c>
      <c r="L120" s="12" t="str">
        <f t="shared" si="2"/>
        <v>5-weeks</v>
      </c>
      <c r="M120" t="str">
        <f t="shared" si="3"/>
        <v>At Risk</v>
      </c>
    </row>
    <row r="121" spans="1:13" x14ac:dyDescent="0.35">
      <c r="A121">
        <v>220</v>
      </c>
      <c r="B121" t="s">
        <v>11</v>
      </c>
      <c r="C121">
        <v>36</v>
      </c>
      <c r="D121" t="s">
        <v>24</v>
      </c>
      <c r="E121" t="s">
        <v>20</v>
      </c>
      <c r="F121" s="2">
        <v>460.5</v>
      </c>
      <c r="G121">
        <v>8</v>
      </c>
      <c r="H121">
        <v>3.1</v>
      </c>
      <c r="I121" t="b">
        <v>0</v>
      </c>
      <c r="J121" s="12">
        <v>19</v>
      </c>
      <c r="K121" t="s">
        <v>18</v>
      </c>
      <c r="L121" s="12" t="str">
        <f t="shared" si="2"/>
        <v>3-weeks</v>
      </c>
      <c r="M121" t="str">
        <f t="shared" si="3"/>
        <v>No Risk</v>
      </c>
    </row>
    <row r="122" spans="1:13" x14ac:dyDescent="0.35">
      <c r="A122">
        <v>221</v>
      </c>
      <c r="B122" t="s">
        <v>11</v>
      </c>
      <c r="C122">
        <v>30</v>
      </c>
      <c r="D122" t="s">
        <v>12</v>
      </c>
      <c r="E122" t="s">
        <v>13</v>
      </c>
      <c r="F122" s="2">
        <v>1190.8</v>
      </c>
      <c r="G122">
        <v>16</v>
      </c>
      <c r="H122">
        <v>4.5</v>
      </c>
      <c r="I122" t="b">
        <v>1</v>
      </c>
      <c r="J122" s="12">
        <v>20</v>
      </c>
      <c r="K122" t="s">
        <v>14</v>
      </c>
      <c r="L122" s="12" t="str">
        <f t="shared" si="2"/>
        <v>3-weeks</v>
      </c>
      <c r="M122" t="str">
        <f t="shared" si="3"/>
        <v>No Risk</v>
      </c>
    </row>
    <row r="123" spans="1:13" x14ac:dyDescent="0.35">
      <c r="A123">
        <v>222</v>
      </c>
      <c r="B123" t="s">
        <v>15</v>
      </c>
      <c r="C123">
        <v>33</v>
      </c>
      <c r="D123" t="s">
        <v>16</v>
      </c>
      <c r="E123" t="s">
        <v>17</v>
      </c>
      <c r="F123" s="2">
        <v>830.75</v>
      </c>
      <c r="G123">
        <v>13</v>
      </c>
      <c r="H123">
        <v>4.2</v>
      </c>
      <c r="I123" t="b">
        <v>0</v>
      </c>
      <c r="J123" s="12">
        <v>14</v>
      </c>
      <c r="K123" t="s">
        <v>14</v>
      </c>
      <c r="L123" s="12" t="str">
        <f t="shared" si="2"/>
        <v>2-weeks</v>
      </c>
      <c r="M123" t="str">
        <f t="shared" si="3"/>
        <v>No Risk</v>
      </c>
    </row>
    <row r="124" spans="1:13" x14ac:dyDescent="0.35">
      <c r="A124">
        <v>223</v>
      </c>
      <c r="B124" t="s">
        <v>11</v>
      </c>
      <c r="C124">
        <v>42</v>
      </c>
      <c r="D124" t="s">
        <v>19</v>
      </c>
      <c r="E124" t="s">
        <v>20</v>
      </c>
      <c r="F124" s="2">
        <v>520.4</v>
      </c>
      <c r="G124">
        <v>9</v>
      </c>
      <c r="H124">
        <v>3.5</v>
      </c>
      <c r="I124" t="b">
        <v>1</v>
      </c>
      <c r="J124" s="12">
        <v>37</v>
      </c>
      <c r="K124" t="s">
        <v>21</v>
      </c>
      <c r="L124" s="12" t="str">
        <f t="shared" si="2"/>
        <v>6-weeks</v>
      </c>
      <c r="M124" t="str">
        <f t="shared" si="3"/>
        <v>At Risk</v>
      </c>
    </row>
    <row r="125" spans="1:13" x14ac:dyDescent="0.35">
      <c r="A125">
        <v>224</v>
      </c>
      <c r="B125" t="s">
        <v>15</v>
      </c>
      <c r="C125">
        <v>29</v>
      </c>
      <c r="D125" t="s">
        <v>22</v>
      </c>
      <c r="E125" t="s">
        <v>13</v>
      </c>
      <c r="F125" s="2">
        <v>1370.2</v>
      </c>
      <c r="G125">
        <v>18</v>
      </c>
      <c r="H125">
        <v>4.7</v>
      </c>
      <c r="I125" t="b">
        <v>0</v>
      </c>
      <c r="J125" s="12">
        <v>10</v>
      </c>
      <c r="K125" t="s">
        <v>14</v>
      </c>
      <c r="L125" s="12" t="str">
        <f t="shared" si="2"/>
        <v>2-weeks</v>
      </c>
      <c r="M125" t="str">
        <f t="shared" si="3"/>
        <v>No Risk</v>
      </c>
    </row>
    <row r="126" spans="1:13" x14ac:dyDescent="0.35">
      <c r="A126">
        <v>225</v>
      </c>
      <c r="B126" t="s">
        <v>15</v>
      </c>
      <c r="C126">
        <v>26</v>
      </c>
      <c r="D126" t="s">
        <v>23</v>
      </c>
      <c r="E126" t="s">
        <v>17</v>
      </c>
      <c r="F126" s="2">
        <v>690.6</v>
      </c>
      <c r="G126">
        <v>12</v>
      </c>
      <c r="H126">
        <v>3.9</v>
      </c>
      <c r="I126" t="b">
        <v>1</v>
      </c>
      <c r="J126" s="12">
        <v>47</v>
      </c>
      <c r="K126" t="s">
        <v>21</v>
      </c>
      <c r="L126" s="12" t="str">
        <f t="shared" si="2"/>
        <v>7-weeks</v>
      </c>
      <c r="M126" t="str">
        <f t="shared" si="3"/>
        <v>At Risk</v>
      </c>
    </row>
    <row r="127" spans="1:13" x14ac:dyDescent="0.35">
      <c r="A127">
        <v>226</v>
      </c>
      <c r="B127" t="s">
        <v>11</v>
      </c>
      <c r="C127">
        <v>38</v>
      </c>
      <c r="D127" t="s">
        <v>24</v>
      </c>
      <c r="E127" t="s">
        <v>20</v>
      </c>
      <c r="F127" s="2">
        <v>440.9</v>
      </c>
      <c r="G127">
        <v>8</v>
      </c>
      <c r="H127">
        <v>3.2</v>
      </c>
      <c r="I127" t="b">
        <v>0</v>
      </c>
      <c r="J127" s="12">
        <v>24</v>
      </c>
      <c r="K127" t="s">
        <v>18</v>
      </c>
      <c r="L127" s="12" t="str">
        <f t="shared" si="2"/>
        <v>4-weeks</v>
      </c>
      <c r="M127" t="str">
        <f t="shared" si="3"/>
        <v>No Risk</v>
      </c>
    </row>
    <row r="128" spans="1:13" x14ac:dyDescent="0.35">
      <c r="A128">
        <v>227</v>
      </c>
      <c r="B128" t="s">
        <v>11</v>
      </c>
      <c r="C128">
        <v>32</v>
      </c>
      <c r="D128" t="s">
        <v>12</v>
      </c>
      <c r="E128" t="s">
        <v>13</v>
      </c>
      <c r="F128" s="2">
        <v>1160.3</v>
      </c>
      <c r="G128">
        <v>14</v>
      </c>
      <c r="H128">
        <v>4.4000000000000004</v>
      </c>
      <c r="I128" t="b">
        <v>1</v>
      </c>
      <c r="J128" s="12">
        <v>22</v>
      </c>
      <c r="K128" t="s">
        <v>14</v>
      </c>
      <c r="L128" s="12" t="str">
        <f t="shared" si="2"/>
        <v>4-weeks</v>
      </c>
      <c r="M128" t="str">
        <f t="shared" si="3"/>
        <v>No Risk</v>
      </c>
    </row>
    <row r="129" spans="1:13" x14ac:dyDescent="0.35">
      <c r="A129">
        <v>228</v>
      </c>
      <c r="B129" t="s">
        <v>15</v>
      </c>
      <c r="C129">
        <v>34</v>
      </c>
      <c r="D129" t="s">
        <v>16</v>
      </c>
      <c r="E129" t="s">
        <v>17</v>
      </c>
      <c r="F129" s="2">
        <v>800.2</v>
      </c>
      <c r="G129">
        <v>11</v>
      </c>
      <c r="H129">
        <v>4.0999999999999996</v>
      </c>
      <c r="I129" t="b">
        <v>0</v>
      </c>
      <c r="J129" s="12">
        <v>17</v>
      </c>
      <c r="K129" t="s">
        <v>18</v>
      </c>
      <c r="L129" s="12" t="str">
        <f t="shared" si="2"/>
        <v>3-weeks</v>
      </c>
      <c r="M129" t="str">
        <f t="shared" si="3"/>
        <v>No Risk</v>
      </c>
    </row>
    <row r="130" spans="1:13" x14ac:dyDescent="0.35">
      <c r="A130">
        <v>229</v>
      </c>
      <c r="B130" t="s">
        <v>11</v>
      </c>
      <c r="C130">
        <v>43</v>
      </c>
      <c r="D130" t="s">
        <v>19</v>
      </c>
      <c r="E130" t="s">
        <v>20</v>
      </c>
      <c r="F130" s="2">
        <v>500.75</v>
      </c>
      <c r="G130">
        <v>10</v>
      </c>
      <c r="H130">
        <v>3.3</v>
      </c>
      <c r="I130" t="b">
        <v>1</v>
      </c>
      <c r="J130" s="12">
        <v>40</v>
      </c>
      <c r="K130" t="s">
        <v>21</v>
      </c>
      <c r="L130" s="12" t="str">
        <f t="shared" ref="L130:L193" si="4">_xlfn.IFS(J130&lt;=7,"1-week",J130&lt;=14,"2-weeks", J130&lt;=21,"3-weeks",J130&lt;=28,"4-weeks",J130&lt;=35,"5-weeks",J130&lt;=42,"6-weeks",J130&lt;=49,"7-weeks",J130&lt;=56,"8-weeks",J130&lt;=63,"9-weeks")</f>
        <v>6-weeks</v>
      </c>
      <c r="M130" t="str">
        <f t="shared" ref="M130:M193" si="5">IF(J130&gt;28, "At Risk", "No Risk")</f>
        <v>At Risk</v>
      </c>
    </row>
    <row r="131" spans="1:13" x14ac:dyDescent="0.35">
      <c r="A131">
        <v>230</v>
      </c>
      <c r="B131" t="s">
        <v>15</v>
      </c>
      <c r="C131">
        <v>30</v>
      </c>
      <c r="D131" t="s">
        <v>22</v>
      </c>
      <c r="E131" t="s">
        <v>13</v>
      </c>
      <c r="F131" s="2">
        <v>1460.5</v>
      </c>
      <c r="G131">
        <v>20</v>
      </c>
      <c r="H131">
        <v>4.8</v>
      </c>
      <c r="I131" t="b">
        <v>0</v>
      </c>
      <c r="J131" s="12">
        <v>12</v>
      </c>
      <c r="K131" t="s">
        <v>14</v>
      </c>
      <c r="L131" s="12" t="str">
        <f t="shared" si="4"/>
        <v>2-weeks</v>
      </c>
      <c r="M131" t="str">
        <f t="shared" si="5"/>
        <v>No Risk</v>
      </c>
    </row>
    <row r="132" spans="1:13" x14ac:dyDescent="0.35">
      <c r="A132">
        <v>231</v>
      </c>
      <c r="B132" t="s">
        <v>15</v>
      </c>
      <c r="C132">
        <v>27</v>
      </c>
      <c r="D132" t="s">
        <v>23</v>
      </c>
      <c r="E132" t="s">
        <v>17</v>
      </c>
      <c r="F132" s="2">
        <v>700.4</v>
      </c>
      <c r="G132">
        <v>13</v>
      </c>
      <c r="H132">
        <v>4</v>
      </c>
      <c r="I132" t="b">
        <v>1</v>
      </c>
      <c r="J132" s="12">
        <v>53</v>
      </c>
      <c r="K132" t="s">
        <v>21</v>
      </c>
      <c r="L132" s="12" t="str">
        <f t="shared" si="4"/>
        <v>8-weeks</v>
      </c>
      <c r="M132" t="str">
        <f t="shared" si="5"/>
        <v>At Risk</v>
      </c>
    </row>
    <row r="133" spans="1:13" x14ac:dyDescent="0.35">
      <c r="A133">
        <v>232</v>
      </c>
      <c r="B133" t="s">
        <v>11</v>
      </c>
      <c r="C133">
        <v>37</v>
      </c>
      <c r="D133" t="s">
        <v>24</v>
      </c>
      <c r="E133" t="s">
        <v>20</v>
      </c>
      <c r="F133" s="2">
        <v>420.8</v>
      </c>
      <c r="G133">
        <v>7</v>
      </c>
      <c r="H133">
        <v>3.1</v>
      </c>
      <c r="I133" t="b">
        <v>0</v>
      </c>
      <c r="J133" s="12">
        <v>21</v>
      </c>
      <c r="K133" t="s">
        <v>18</v>
      </c>
      <c r="L133" s="12" t="str">
        <f t="shared" si="4"/>
        <v>3-weeks</v>
      </c>
      <c r="M133" t="str">
        <f t="shared" si="5"/>
        <v>No Risk</v>
      </c>
    </row>
    <row r="134" spans="1:13" x14ac:dyDescent="0.35">
      <c r="A134">
        <v>233</v>
      </c>
      <c r="B134" t="s">
        <v>11</v>
      </c>
      <c r="C134">
        <v>31</v>
      </c>
      <c r="D134" t="s">
        <v>12</v>
      </c>
      <c r="E134" t="s">
        <v>13</v>
      </c>
      <c r="F134" s="2">
        <v>1130.5999999999999</v>
      </c>
      <c r="G134">
        <v>15</v>
      </c>
      <c r="H134">
        <v>4.5</v>
      </c>
      <c r="I134" t="b">
        <v>1</v>
      </c>
      <c r="J134" s="12">
        <v>26</v>
      </c>
      <c r="K134" t="s">
        <v>14</v>
      </c>
      <c r="L134" s="12" t="str">
        <f t="shared" si="4"/>
        <v>4-weeks</v>
      </c>
      <c r="M134" t="str">
        <f t="shared" si="5"/>
        <v>No Risk</v>
      </c>
    </row>
    <row r="135" spans="1:13" x14ac:dyDescent="0.35">
      <c r="A135">
        <v>234</v>
      </c>
      <c r="B135" t="s">
        <v>15</v>
      </c>
      <c r="C135">
        <v>35</v>
      </c>
      <c r="D135" t="s">
        <v>16</v>
      </c>
      <c r="E135" t="s">
        <v>17</v>
      </c>
      <c r="F135" s="2">
        <v>820.9</v>
      </c>
      <c r="G135">
        <v>12</v>
      </c>
      <c r="H135">
        <v>4.3</v>
      </c>
      <c r="I135" t="b">
        <v>0</v>
      </c>
      <c r="J135" s="12">
        <v>12</v>
      </c>
      <c r="K135" t="s">
        <v>18</v>
      </c>
      <c r="L135" s="12" t="str">
        <f t="shared" si="4"/>
        <v>2-weeks</v>
      </c>
      <c r="M135" t="str">
        <f t="shared" si="5"/>
        <v>No Risk</v>
      </c>
    </row>
    <row r="136" spans="1:13" x14ac:dyDescent="0.35">
      <c r="A136">
        <v>235</v>
      </c>
      <c r="B136" t="s">
        <v>11</v>
      </c>
      <c r="C136">
        <v>41</v>
      </c>
      <c r="D136" t="s">
        <v>19</v>
      </c>
      <c r="E136" t="s">
        <v>20</v>
      </c>
      <c r="F136" s="2">
        <v>480.25</v>
      </c>
      <c r="G136">
        <v>9</v>
      </c>
      <c r="H136">
        <v>3.6</v>
      </c>
      <c r="I136" t="b">
        <v>1</v>
      </c>
      <c r="J136" s="12">
        <v>38</v>
      </c>
      <c r="K136" t="s">
        <v>21</v>
      </c>
      <c r="L136" s="12" t="str">
        <f t="shared" si="4"/>
        <v>6-weeks</v>
      </c>
      <c r="M136" t="str">
        <f t="shared" si="5"/>
        <v>At Risk</v>
      </c>
    </row>
    <row r="137" spans="1:13" x14ac:dyDescent="0.35">
      <c r="A137">
        <v>236</v>
      </c>
      <c r="B137" t="s">
        <v>15</v>
      </c>
      <c r="C137">
        <v>28</v>
      </c>
      <c r="D137" t="s">
        <v>22</v>
      </c>
      <c r="E137" t="s">
        <v>13</v>
      </c>
      <c r="F137" s="2">
        <v>1490.1</v>
      </c>
      <c r="G137">
        <v>21</v>
      </c>
      <c r="H137">
        <v>4.9000000000000004</v>
      </c>
      <c r="I137" t="b">
        <v>0</v>
      </c>
      <c r="J137" s="12">
        <v>9</v>
      </c>
      <c r="K137" t="s">
        <v>14</v>
      </c>
      <c r="L137" s="12" t="str">
        <f t="shared" si="4"/>
        <v>2-weeks</v>
      </c>
      <c r="M137" t="str">
        <f t="shared" si="5"/>
        <v>No Risk</v>
      </c>
    </row>
    <row r="138" spans="1:13" x14ac:dyDescent="0.35">
      <c r="A138">
        <v>237</v>
      </c>
      <c r="B138" t="s">
        <v>15</v>
      </c>
      <c r="C138">
        <v>32</v>
      </c>
      <c r="D138" t="s">
        <v>23</v>
      </c>
      <c r="E138" t="s">
        <v>17</v>
      </c>
      <c r="F138" s="2">
        <v>680.3</v>
      </c>
      <c r="G138">
        <v>10</v>
      </c>
      <c r="H138">
        <v>3.8</v>
      </c>
      <c r="I138" t="b">
        <v>1</v>
      </c>
      <c r="J138" s="12">
        <v>32</v>
      </c>
      <c r="K138" t="s">
        <v>21</v>
      </c>
      <c r="L138" s="12" t="str">
        <f t="shared" si="4"/>
        <v>5-weeks</v>
      </c>
      <c r="M138" t="str">
        <f t="shared" si="5"/>
        <v>At Risk</v>
      </c>
    </row>
    <row r="139" spans="1:13" x14ac:dyDescent="0.35">
      <c r="A139">
        <v>238</v>
      </c>
      <c r="B139" t="s">
        <v>11</v>
      </c>
      <c r="C139">
        <v>36</v>
      </c>
      <c r="D139" t="s">
        <v>24</v>
      </c>
      <c r="E139" t="s">
        <v>20</v>
      </c>
      <c r="F139" s="2">
        <v>470.5</v>
      </c>
      <c r="G139">
        <v>8</v>
      </c>
      <c r="H139">
        <v>3</v>
      </c>
      <c r="I139" t="b">
        <v>0</v>
      </c>
      <c r="J139" s="12">
        <v>18</v>
      </c>
      <c r="K139" t="s">
        <v>18</v>
      </c>
      <c r="L139" s="12" t="str">
        <f t="shared" si="4"/>
        <v>3-weeks</v>
      </c>
      <c r="M139" t="str">
        <f t="shared" si="5"/>
        <v>No Risk</v>
      </c>
    </row>
    <row r="140" spans="1:13" x14ac:dyDescent="0.35">
      <c r="A140">
        <v>239</v>
      </c>
      <c r="B140" t="s">
        <v>11</v>
      </c>
      <c r="C140">
        <v>30</v>
      </c>
      <c r="D140" t="s">
        <v>12</v>
      </c>
      <c r="E140" t="s">
        <v>13</v>
      </c>
      <c r="F140" s="2">
        <v>1180.8</v>
      </c>
      <c r="G140">
        <v>16</v>
      </c>
      <c r="H140">
        <v>4.7</v>
      </c>
      <c r="I140" t="b">
        <v>1</v>
      </c>
      <c r="J140" s="12">
        <v>19</v>
      </c>
      <c r="K140" t="s">
        <v>14</v>
      </c>
      <c r="L140" s="12" t="str">
        <f t="shared" si="4"/>
        <v>3-weeks</v>
      </c>
      <c r="M140" t="str">
        <f t="shared" si="5"/>
        <v>No Risk</v>
      </c>
    </row>
    <row r="141" spans="1:13" x14ac:dyDescent="0.35">
      <c r="A141">
        <v>240</v>
      </c>
      <c r="B141" t="s">
        <v>15</v>
      </c>
      <c r="C141">
        <v>34</v>
      </c>
      <c r="D141" t="s">
        <v>16</v>
      </c>
      <c r="E141" t="s">
        <v>17</v>
      </c>
      <c r="F141" s="2">
        <v>790.2</v>
      </c>
      <c r="G141">
        <v>11</v>
      </c>
      <c r="H141">
        <v>4</v>
      </c>
      <c r="I141" t="b">
        <v>0</v>
      </c>
      <c r="J141" s="12">
        <v>15</v>
      </c>
      <c r="K141" t="s">
        <v>18</v>
      </c>
      <c r="L141" s="12" t="str">
        <f t="shared" si="4"/>
        <v>3-weeks</v>
      </c>
      <c r="M141" t="str">
        <f t="shared" si="5"/>
        <v>No Risk</v>
      </c>
    </row>
    <row r="142" spans="1:13" x14ac:dyDescent="0.35">
      <c r="A142">
        <v>241</v>
      </c>
      <c r="B142" t="s">
        <v>11</v>
      </c>
      <c r="C142">
        <v>43</v>
      </c>
      <c r="D142" t="s">
        <v>19</v>
      </c>
      <c r="E142" t="s">
        <v>20</v>
      </c>
      <c r="F142" s="2">
        <v>505.75</v>
      </c>
      <c r="G142">
        <v>10</v>
      </c>
      <c r="H142">
        <v>3.3</v>
      </c>
      <c r="I142" t="b">
        <v>1</v>
      </c>
      <c r="J142" s="12">
        <v>39</v>
      </c>
      <c r="K142" t="s">
        <v>21</v>
      </c>
      <c r="L142" s="12" t="str">
        <f t="shared" si="4"/>
        <v>6-weeks</v>
      </c>
      <c r="M142" t="str">
        <f t="shared" si="5"/>
        <v>At Risk</v>
      </c>
    </row>
    <row r="143" spans="1:13" x14ac:dyDescent="0.35">
      <c r="A143">
        <v>242</v>
      </c>
      <c r="B143" t="s">
        <v>15</v>
      </c>
      <c r="C143">
        <v>30</v>
      </c>
      <c r="D143" t="s">
        <v>22</v>
      </c>
      <c r="E143" t="s">
        <v>13</v>
      </c>
      <c r="F143" s="2">
        <v>1470.5</v>
      </c>
      <c r="G143">
        <v>20</v>
      </c>
      <c r="H143">
        <v>4.8</v>
      </c>
      <c r="I143" t="b">
        <v>0</v>
      </c>
      <c r="J143" s="12">
        <v>13</v>
      </c>
      <c r="K143" t="s">
        <v>14</v>
      </c>
      <c r="L143" s="12" t="str">
        <f t="shared" si="4"/>
        <v>2-weeks</v>
      </c>
      <c r="M143" t="str">
        <f t="shared" si="5"/>
        <v>No Risk</v>
      </c>
    </row>
    <row r="144" spans="1:13" x14ac:dyDescent="0.35">
      <c r="A144">
        <v>243</v>
      </c>
      <c r="B144" t="s">
        <v>15</v>
      </c>
      <c r="C144">
        <v>27</v>
      </c>
      <c r="D144" t="s">
        <v>23</v>
      </c>
      <c r="E144" t="s">
        <v>17</v>
      </c>
      <c r="F144" s="2">
        <v>710.4</v>
      </c>
      <c r="G144">
        <v>13</v>
      </c>
      <c r="H144">
        <v>4.0999999999999996</v>
      </c>
      <c r="I144" t="b">
        <v>1</v>
      </c>
      <c r="J144" s="12">
        <v>54</v>
      </c>
      <c r="K144" t="s">
        <v>21</v>
      </c>
      <c r="L144" s="12" t="str">
        <f t="shared" si="4"/>
        <v>8-weeks</v>
      </c>
      <c r="M144" t="str">
        <f t="shared" si="5"/>
        <v>At Risk</v>
      </c>
    </row>
    <row r="145" spans="1:13" x14ac:dyDescent="0.35">
      <c r="A145">
        <v>244</v>
      </c>
      <c r="B145" t="s">
        <v>11</v>
      </c>
      <c r="C145">
        <v>37</v>
      </c>
      <c r="D145" t="s">
        <v>24</v>
      </c>
      <c r="E145" t="s">
        <v>20</v>
      </c>
      <c r="F145" s="2">
        <v>430.8</v>
      </c>
      <c r="G145">
        <v>7</v>
      </c>
      <c r="H145">
        <v>3.4</v>
      </c>
      <c r="I145" t="b">
        <v>0</v>
      </c>
      <c r="J145" s="12">
        <v>23</v>
      </c>
      <c r="K145" t="s">
        <v>18</v>
      </c>
      <c r="L145" s="12" t="str">
        <f t="shared" si="4"/>
        <v>4-weeks</v>
      </c>
      <c r="M145" t="str">
        <f t="shared" si="5"/>
        <v>No Risk</v>
      </c>
    </row>
    <row r="146" spans="1:13" x14ac:dyDescent="0.35">
      <c r="A146">
        <v>245</v>
      </c>
      <c r="B146" t="s">
        <v>11</v>
      </c>
      <c r="C146">
        <v>31</v>
      </c>
      <c r="D146" t="s">
        <v>12</v>
      </c>
      <c r="E146" t="s">
        <v>13</v>
      </c>
      <c r="F146" s="2">
        <v>1130.5999999999999</v>
      </c>
      <c r="G146">
        <v>15</v>
      </c>
      <c r="H146">
        <v>4.5</v>
      </c>
      <c r="I146" t="b">
        <v>1</v>
      </c>
      <c r="J146" s="12">
        <v>26</v>
      </c>
      <c r="K146" t="s">
        <v>14</v>
      </c>
      <c r="L146" s="12" t="str">
        <f t="shared" si="4"/>
        <v>4-weeks</v>
      </c>
      <c r="M146" t="str">
        <f t="shared" si="5"/>
        <v>No Risk</v>
      </c>
    </row>
    <row r="147" spans="1:13" x14ac:dyDescent="0.35">
      <c r="A147">
        <v>246</v>
      </c>
      <c r="B147" t="s">
        <v>15</v>
      </c>
      <c r="C147">
        <v>35</v>
      </c>
      <c r="D147" t="s">
        <v>16</v>
      </c>
      <c r="E147" t="s">
        <v>17</v>
      </c>
      <c r="F147" s="2">
        <v>820.9</v>
      </c>
      <c r="G147">
        <v>12</v>
      </c>
      <c r="H147">
        <v>4.3</v>
      </c>
      <c r="I147" t="b">
        <v>0</v>
      </c>
      <c r="J147" s="12">
        <v>12</v>
      </c>
      <c r="K147" t="s">
        <v>18</v>
      </c>
      <c r="L147" s="12" t="str">
        <f t="shared" si="4"/>
        <v>2-weeks</v>
      </c>
      <c r="M147" t="str">
        <f t="shared" si="5"/>
        <v>No Risk</v>
      </c>
    </row>
    <row r="148" spans="1:13" x14ac:dyDescent="0.35">
      <c r="A148">
        <v>247</v>
      </c>
      <c r="B148" t="s">
        <v>11</v>
      </c>
      <c r="C148">
        <v>41</v>
      </c>
      <c r="D148" t="s">
        <v>19</v>
      </c>
      <c r="E148" t="s">
        <v>20</v>
      </c>
      <c r="F148" s="2">
        <v>480.25</v>
      </c>
      <c r="G148">
        <v>9</v>
      </c>
      <c r="H148">
        <v>3.6</v>
      </c>
      <c r="I148" t="b">
        <v>1</v>
      </c>
      <c r="J148" s="12">
        <v>38</v>
      </c>
      <c r="K148" t="s">
        <v>21</v>
      </c>
      <c r="L148" s="12" t="str">
        <f t="shared" si="4"/>
        <v>6-weeks</v>
      </c>
      <c r="M148" t="str">
        <f t="shared" si="5"/>
        <v>At Risk</v>
      </c>
    </row>
    <row r="149" spans="1:13" x14ac:dyDescent="0.35">
      <c r="A149">
        <v>248</v>
      </c>
      <c r="B149" t="s">
        <v>15</v>
      </c>
      <c r="C149">
        <v>28</v>
      </c>
      <c r="D149" t="s">
        <v>22</v>
      </c>
      <c r="E149" t="s">
        <v>13</v>
      </c>
      <c r="F149" s="2">
        <v>1490.1</v>
      </c>
      <c r="G149">
        <v>21</v>
      </c>
      <c r="H149">
        <v>4.9000000000000004</v>
      </c>
      <c r="I149" t="b">
        <v>0</v>
      </c>
      <c r="J149" s="12">
        <v>9</v>
      </c>
      <c r="K149" t="s">
        <v>14</v>
      </c>
      <c r="L149" s="12" t="str">
        <f t="shared" si="4"/>
        <v>2-weeks</v>
      </c>
      <c r="M149" t="str">
        <f t="shared" si="5"/>
        <v>No Risk</v>
      </c>
    </row>
    <row r="150" spans="1:13" x14ac:dyDescent="0.35">
      <c r="A150">
        <v>249</v>
      </c>
      <c r="B150" t="s">
        <v>15</v>
      </c>
      <c r="C150">
        <v>32</v>
      </c>
      <c r="D150" t="s">
        <v>23</v>
      </c>
      <c r="E150" t="s">
        <v>17</v>
      </c>
      <c r="F150" s="2">
        <v>680.3</v>
      </c>
      <c r="G150">
        <v>10</v>
      </c>
      <c r="H150">
        <v>3.8</v>
      </c>
      <c r="I150" t="b">
        <v>1</v>
      </c>
      <c r="J150" s="12">
        <v>32</v>
      </c>
      <c r="K150" t="s">
        <v>21</v>
      </c>
      <c r="L150" s="12" t="str">
        <f t="shared" si="4"/>
        <v>5-weeks</v>
      </c>
      <c r="M150" t="str">
        <f t="shared" si="5"/>
        <v>At Risk</v>
      </c>
    </row>
    <row r="151" spans="1:13" x14ac:dyDescent="0.35">
      <c r="A151">
        <v>250</v>
      </c>
      <c r="B151" t="s">
        <v>11</v>
      </c>
      <c r="C151">
        <v>36</v>
      </c>
      <c r="D151" t="s">
        <v>24</v>
      </c>
      <c r="E151" t="s">
        <v>20</v>
      </c>
      <c r="F151" s="2">
        <v>470.5</v>
      </c>
      <c r="G151">
        <v>8</v>
      </c>
      <c r="H151">
        <v>3</v>
      </c>
      <c r="I151" t="b">
        <v>0</v>
      </c>
      <c r="J151" s="12">
        <v>18</v>
      </c>
      <c r="K151" t="s">
        <v>18</v>
      </c>
      <c r="L151" s="12" t="str">
        <f t="shared" si="4"/>
        <v>3-weeks</v>
      </c>
      <c r="M151" t="str">
        <f t="shared" si="5"/>
        <v>No Risk</v>
      </c>
    </row>
    <row r="152" spans="1:13" x14ac:dyDescent="0.35">
      <c r="A152">
        <v>251</v>
      </c>
      <c r="B152" t="s">
        <v>11</v>
      </c>
      <c r="C152">
        <v>30</v>
      </c>
      <c r="D152" t="s">
        <v>12</v>
      </c>
      <c r="E152" t="s">
        <v>13</v>
      </c>
      <c r="F152" s="2">
        <v>1180.8</v>
      </c>
      <c r="G152">
        <v>16</v>
      </c>
      <c r="H152">
        <v>4.7</v>
      </c>
      <c r="I152" t="b">
        <v>1</v>
      </c>
      <c r="J152" s="12">
        <v>19</v>
      </c>
      <c r="K152" t="s">
        <v>14</v>
      </c>
      <c r="L152" s="12" t="str">
        <f t="shared" si="4"/>
        <v>3-weeks</v>
      </c>
      <c r="M152" t="str">
        <f t="shared" si="5"/>
        <v>No Risk</v>
      </c>
    </row>
    <row r="153" spans="1:13" x14ac:dyDescent="0.35">
      <c r="A153">
        <v>252</v>
      </c>
      <c r="B153" t="s">
        <v>15</v>
      </c>
      <c r="C153">
        <v>34</v>
      </c>
      <c r="D153" t="s">
        <v>16</v>
      </c>
      <c r="E153" t="s">
        <v>17</v>
      </c>
      <c r="F153" s="2">
        <v>790.2</v>
      </c>
      <c r="G153">
        <v>11</v>
      </c>
      <c r="H153">
        <v>4</v>
      </c>
      <c r="I153" t="b">
        <v>0</v>
      </c>
      <c r="J153" s="12">
        <v>15</v>
      </c>
      <c r="K153" t="s">
        <v>18</v>
      </c>
      <c r="L153" s="12" t="str">
        <f t="shared" si="4"/>
        <v>3-weeks</v>
      </c>
      <c r="M153" t="str">
        <f t="shared" si="5"/>
        <v>No Risk</v>
      </c>
    </row>
    <row r="154" spans="1:13" x14ac:dyDescent="0.35">
      <c r="A154">
        <v>253</v>
      </c>
      <c r="B154" t="s">
        <v>11</v>
      </c>
      <c r="C154">
        <v>43</v>
      </c>
      <c r="D154" t="s">
        <v>19</v>
      </c>
      <c r="E154" t="s">
        <v>20</v>
      </c>
      <c r="F154" s="2">
        <v>505.75</v>
      </c>
      <c r="G154">
        <v>10</v>
      </c>
      <c r="H154">
        <v>3.3</v>
      </c>
      <c r="I154" t="b">
        <v>1</v>
      </c>
      <c r="J154" s="12">
        <v>39</v>
      </c>
      <c r="K154" t="s">
        <v>21</v>
      </c>
      <c r="L154" s="12" t="str">
        <f t="shared" si="4"/>
        <v>6-weeks</v>
      </c>
      <c r="M154" t="str">
        <f t="shared" si="5"/>
        <v>At Risk</v>
      </c>
    </row>
    <row r="155" spans="1:13" x14ac:dyDescent="0.35">
      <c r="A155">
        <v>254</v>
      </c>
      <c r="B155" t="s">
        <v>15</v>
      </c>
      <c r="C155">
        <v>30</v>
      </c>
      <c r="D155" t="s">
        <v>22</v>
      </c>
      <c r="E155" t="s">
        <v>13</v>
      </c>
      <c r="F155" s="2">
        <v>1470.5</v>
      </c>
      <c r="G155">
        <v>20</v>
      </c>
      <c r="H155">
        <v>4.8</v>
      </c>
      <c r="I155" t="b">
        <v>0</v>
      </c>
      <c r="J155" s="12">
        <v>13</v>
      </c>
      <c r="K155" t="s">
        <v>14</v>
      </c>
      <c r="L155" s="12" t="str">
        <f t="shared" si="4"/>
        <v>2-weeks</v>
      </c>
      <c r="M155" t="str">
        <f t="shared" si="5"/>
        <v>No Risk</v>
      </c>
    </row>
    <row r="156" spans="1:13" x14ac:dyDescent="0.35">
      <c r="A156">
        <v>255</v>
      </c>
      <c r="B156" t="s">
        <v>15</v>
      </c>
      <c r="C156">
        <v>27</v>
      </c>
      <c r="D156" t="s">
        <v>23</v>
      </c>
      <c r="E156" t="s">
        <v>17</v>
      </c>
      <c r="F156" s="2">
        <v>710.4</v>
      </c>
      <c r="G156">
        <v>13</v>
      </c>
      <c r="H156">
        <v>4.0999999999999996</v>
      </c>
      <c r="I156" t="b">
        <v>1</v>
      </c>
      <c r="J156" s="12">
        <v>54</v>
      </c>
      <c r="K156" t="s">
        <v>21</v>
      </c>
      <c r="L156" s="12" t="str">
        <f t="shared" si="4"/>
        <v>8-weeks</v>
      </c>
      <c r="M156" t="str">
        <f t="shared" si="5"/>
        <v>At Risk</v>
      </c>
    </row>
    <row r="157" spans="1:13" x14ac:dyDescent="0.35">
      <c r="A157">
        <v>256</v>
      </c>
      <c r="B157" t="s">
        <v>11</v>
      </c>
      <c r="C157">
        <v>37</v>
      </c>
      <c r="D157" t="s">
        <v>24</v>
      </c>
      <c r="E157" t="s">
        <v>20</v>
      </c>
      <c r="F157" s="2">
        <v>430.8</v>
      </c>
      <c r="G157">
        <v>7</v>
      </c>
      <c r="H157">
        <v>3.4</v>
      </c>
      <c r="I157" t="b">
        <v>0</v>
      </c>
      <c r="J157" s="12">
        <v>23</v>
      </c>
      <c r="K157" t="s">
        <v>18</v>
      </c>
      <c r="L157" s="12" t="str">
        <f t="shared" si="4"/>
        <v>4-weeks</v>
      </c>
      <c r="M157" t="str">
        <f t="shared" si="5"/>
        <v>No Risk</v>
      </c>
    </row>
    <row r="158" spans="1:13" x14ac:dyDescent="0.35">
      <c r="A158">
        <v>257</v>
      </c>
      <c r="B158" t="s">
        <v>11</v>
      </c>
      <c r="C158">
        <v>31</v>
      </c>
      <c r="D158" t="s">
        <v>12</v>
      </c>
      <c r="E158" t="s">
        <v>13</v>
      </c>
      <c r="F158" s="2">
        <v>1140.5999999999999</v>
      </c>
      <c r="G158">
        <v>15</v>
      </c>
      <c r="H158">
        <v>4.5999999999999996</v>
      </c>
      <c r="I158" t="b">
        <v>1</v>
      </c>
      <c r="J158" s="12">
        <v>27</v>
      </c>
      <c r="K158" t="s">
        <v>14</v>
      </c>
      <c r="L158" s="12" t="str">
        <f t="shared" si="4"/>
        <v>4-weeks</v>
      </c>
      <c r="M158" t="str">
        <f t="shared" si="5"/>
        <v>No Risk</v>
      </c>
    </row>
    <row r="159" spans="1:13" x14ac:dyDescent="0.35">
      <c r="A159">
        <v>258</v>
      </c>
      <c r="B159" t="s">
        <v>15</v>
      </c>
      <c r="C159">
        <v>35</v>
      </c>
      <c r="D159" t="s">
        <v>16</v>
      </c>
      <c r="E159" t="s">
        <v>17</v>
      </c>
      <c r="F159" s="2">
        <v>810.9</v>
      </c>
      <c r="G159">
        <v>12</v>
      </c>
      <c r="H159">
        <v>4.3</v>
      </c>
      <c r="I159" t="b">
        <v>0</v>
      </c>
      <c r="J159" s="12">
        <v>13</v>
      </c>
      <c r="K159" t="s">
        <v>18</v>
      </c>
      <c r="L159" s="12" t="str">
        <f t="shared" si="4"/>
        <v>2-weeks</v>
      </c>
      <c r="M159" t="str">
        <f t="shared" si="5"/>
        <v>No Risk</v>
      </c>
    </row>
    <row r="160" spans="1:13" x14ac:dyDescent="0.35">
      <c r="A160">
        <v>259</v>
      </c>
      <c r="B160" t="s">
        <v>11</v>
      </c>
      <c r="C160">
        <v>41</v>
      </c>
      <c r="D160" t="s">
        <v>19</v>
      </c>
      <c r="E160" t="s">
        <v>20</v>
      </c>
      <c r="F160" s="2">
        <v>485.25</v>
      </c>
      <c r="G160">
        <v>9</v>
      </c>
      <c r="H160">
        <v>3.6</v>
      </c>
      <c r="I160" t="b">
        <v>1</v>
      </c>
      <c r="J160" s="12">
        <v>39</v>
      </c>
      <c r="K160" t="s">
        <v>21</v>
      </c>
      <c r="L160" s="12" t="str">
        <f t="shared" si="4"/>
        <v>6-weeks</v>
      </c>
      <c r="M160" t="str">
        <f t="shared" si="5"/>
        <v>At Risk</v>
      </c>
    </row>
    <row r="161" spans="1:13" x14ac:dyDescent="0.35">
      <c r="A161">
        <v>260</v>
      </c>
      <c r="B161" t="s">
        <v>15</v>
      </c>
      <c r="C161">
        <v>28</v>
      </c>
      <c r="D161" t="s">
        <v>22</v>
      </c>
      <c r="E161" t="s">
        <v>13</v>
      </c>
      <c r="F161" s="2">
        <v>1500.1</v>
      </c>
      <c r="G161">
        <v>21</v>
      </c>
      <c r="H161">
        <v>4.9000000000000004</v>
      </c>
      <c r="I161" t="b">
        <v>0</v>
      </c>
      <c r="J161" s="12">
        <v>10</v>
      </c>
      <c r="K161" t="s">
        <v>14</v>
      </c>
      <c r="L161" s="12" t="str">
        <f t="shared" si="4"/>
        <v>2-weeks</v>
      </c>
      <c r="M161" t="str">
        <f t="shared" si="5"/>
        <v>No Risk</v>
      </c>
    </row>
    <row r="162" spans="1:13" x14ac:dyDescent="0.35">
      <c r="A162">
        <v>261</v>
      </c>
      <c r="B162" t="s">
        <v>15</v>
      </c>
      <c r="C162">
        <v>32</v>
      </c>
      <c r="D162" t="s">
        <v>23</v>
      </c>
      <c r="E162" t="s">
        <v>17</v>
      </c>
      <c r="F162" s="2">
        <v>670.3</v>
      </c>
      <c r="G162">
        <v>10</v>
      </c>
      <c r="H162">
        <v>3.8</v>
      </c>
      <c r="I162" t="b">
        <v>1</v>
      </c>
      <c r="J162" s="12">
        <v>33</v>
      </c>
      <c r="K162" t="s">
        <v>21</v>
      </c>
      <c r="L162" s="12" t="str">
        <f t="shared" si="4"/>
        <v>5-weeks</v>
      </c>
      <c r="M162" t="str">
        <f t="shared" si="5"/>
        <v>At Risk</v>
      </c>
    </row>
    <row r="163" spans="1:13" x14ac:dyDescent="0.35">
      <c r="A163">
        <v>262</v>
      </c>
      <c r="B163" t="s">
        <v>11</v>
      </c>
      <c r="C163">
        <v>36</v>
      </c>
      <c r="D163" t="s">
        <v>24</v>
      </c>
      <c r="E163" t="s">
        <v>20</v>
      </c>
      <c r="F163" s="2">
        <v>460.5</v>
      </c>
      <c r="G163">
        <v>8</v>
      </c>
      <c r="H163">
        <v>3.1</v>
      </c>
      <c r="I163" t="b">
        <v>0</v>
      </c>
      <c r="J163" s="12">
        <v>19</v>
      </c>
      <c r="K163" t="s">
        <v>18</v>
      </c>
      <c r="L163" s="12" t="str">
        <f t="shared" si="4"/>
        <v>3-weeks</v>
      </c>
      <c r="M163" t="str">
        <f t="shared" si="5"/>
        <v>No Risk</v>
      </c>
    </row>
    <row r="164" spans="1:13" x14ac:dyDescent="0.35">
      <c r="A164">
        <v>263</v>
      </c>
      <c r="B164" t="s">
        <v>11</v>
      </c>
      <c r="C164">
        <v>30</v>
      </c>
      <c r="D164" t="s">
        <v>12</v>
      </c>
      <c r="E164" t="s">
        <v>13</v>
      </c>
      <c r="F164" s="2">
        <v>1190.8</v>
      </c>
      <c r="G164">
        <v>16</v>
      </c>
      <c r="H164">
        <v>4.5</v>
      </c>
      <c r="I164" t="b">
        <v>1</v>
      </c>
      <c r="J164" s="12">
        <v>20</v>
      </c>
      <c r="K164" t="s">
        <v>14</v>
      </c>
      <c r="L164" s="12" t="str">
        <f t="shared" si="4"/>
        <v>3-weeks</v>
      </c>
      <c r="M164" t="str">
        <f t="shared" si="5"/>
        <v>No Risk</v>
      </c>
    </row>
    <row r="165" spans="1:13" x14ac:dyDescent="0.35">
      <c r="A165">
        <v>264</v>
      </c>
      <c r="B165" t="s">
        <v>15</v>
      </c>
      <c r="C165">
        <v>33</v>
      </c>
      <c r="D165" t="s">
        <v>16</v>
      </c>
      <c r="E165" t="s">
        <v>17</v>
      </c>
      <c r="F165" s="2">
        <v>830.75</v>
      </c>
      <c r="G165">
        <v>13</v>
      </c>
      <c r="H165">
        <v>4.2</v>
      </c>
      <c r="I165" t="b">
        <v>0</v>
      </c>
      <c r="J165" s="12">
        <v>14</v>
      </c>
      <c r="K165" t="s">
        <v>14</v>
      </c>
      <c r="L165" s="12" t="str">
        <f t="shared" si="4"/>
        <v>2-weeks</v>
      </c>
      <c r="M165" t="str">
        <f t="shared" si="5"/>
        <v>No Risk</v>
      </c>
    </row>
    <row r="166" spans="1:13" x14ac:dyDescent="0.35">
      <c r="A166">
        <v>265</v>
      </c>
      <c r="B166" t="s">
        <v>11</v>
      </c>
      <c r="C166">
        <v>42</v>
      </c>
      <c r="D166" t="s">
        <v>19</v>
      </c>
      <c r="E166" t="s">
        <v>20</v>
      </c>
      <c r="F166" s="2">
        <v>520.4</v>
      </c>
      <c r="G166">
        <v>9</v>
      </c>
      <c r="H166">
        <v>3.5</v>
      </c>
      <c r="I166" t="b">
        <v>1</v>
      </c>
      <c r="J166" s="12">
        <v>37</v>
      </c>
      <c r="K166" t="s">
        <v>21</v>
      </c>
      <c r="L166" s="12" t="str">
        <f t="shared" si="4"/>
        <v>6-weeks</v>
      </c>
      <c r="M166" t="str">
        <f t="shared" si="5"/>
        <v>At Risk</v>
      </c>
    </row>
    <row r="167" spans="1:13" x14ac:dyDescent="0.35">
      <c r="A167">
        <v>266</v>
      </c>
      <c r="B167" t="s">
        <v>15</v>
      </c>
      <c r="C167">
        <v>29</v>
      </c>
      <c r="D167" t="s">
        <v>22</v>
      </c>
      <c r="E167" t="s">
        <v>13</v>
      </c>
      <c r="F167" s="2">
        <v>1370.2</v>
      </c>
      <c r="G167">
        <v>18</v>
      </c>
      <c r="H167">
        <v>4.7</v>
      </c>
      <c r="I167" t="b">
        <v>0</v>
      </c>
      <c r="J167" s="12">
        <v>10</v>
      </c>
      <c r="K167" t="s">
        <v>14</v>
      </c>
      <c r="L167" s="12" t="str">
        <f t="shared" si="4"/>
        <v>2-weeks</v>
      </c>
      <c r="M167" t="str">
        <f t="shared" si="5"/>
        <v>No Risk</v>
      </c>
    </row>
    <row r="168" spans="1:13" x14ac:dyDescent="0.35">
      <c r="A168">
        <v>267</v>
      </c>
      <c r="B168" t="s">
        <v>15</v>
      </c>
      <c r="C168">
        <v>26</v>
      </c>
      <c r="D168" t="s">
        <v>23</v>
      </c>
      <c r="E168" t="s">
        <v>17</v>
      </c>
      <c r="F168" s="2">
        <v>690.6</v>
      </c>
      <c r="G168">
        <v>12</v>
      </c>
      <c r="H168">
        <v>3.9</v>
      </c>
      <c r="I168" t="b">
        <v>1</v>
      </c>
      <c r="J168" s="12">
        <v>47</v>
      </c>
      <c r="K168" t="s">
        <v>21</v>
      </c>
      <c r="L168" s="12" t="str">
        <f t="shared" si="4"/>
        <v>7-weeks</v>
      </c>
      <c r="M168" t="str">
        <f t="shared" si="5"/>
        <v>At Risk</v>
      </c>
    </row>
    <row r="169" spans="1:13" x14ac:dyDescent="0.35">
      <c r="A169">
        <v>268</v>
      </c>
      <c r="B169" t="s">
        <v>11</v>
      </c>
      <c r="C169">
        <v>38</v>
      </c>
      <c r="D169" t="s">
        <v>24</v>
      </c>
      <c r="E169" t="s">
        <v>20</v>
      </c>
      <c r="F169" s="2">
        <v>440.9</v>
      </c>
      <c r="G169">
        <v>8</v>
      </c>
      <c r="H169">
        <v>3.2</v>
      </c>
      <c r="I169" t="b">
        <v>0</v>
      </c>
      <c r="J169" s="12">
        <v>24</v>
      </c>
      <c r="K169" t="s">
        <v>18</v>
      </c>
      <c r="L169" s="12" t="str">
        <f t="shared" si="4"/>
        <v>4-weeks</v>
      </c>
      <c r="M169" t="str">
        <f t="shared" si="5"/>
        <v>No Risk</v>
      </c>
    </row>
    <row r="170" spans="1:13" x14ac:dyDescent="0.35">
      <c r="A170">
        <v>269</v>
      </c>
      <c r="B170" t="s">
        <v>11</v>
      </c>
      <c r="C170">
        <v>32</v>
      </c>
      <c r="D170" t="s">
        <v>12</v>
      </c>
      <c r="E170" t="s">
        <v>13</v>
      </c>
      <c r="F170" s="2">
        <v>1160.3</v>
      </c>
      <c r="G170">
        <v>14</v>
      </c>
      <c r="H170">
        <v>4.4000000000000004</v>
      </c>
      <c r="I170" t="b">
        <v>1</v>
      </c>
      <c r="J170" s="12">
        <v>22</v>
      </c>
      <c r="K170" t="s">
        <v>14</v>
      </c>
      <c r="L170" s="12" t="str">
        <f t="shared" si="4"/>
        <v>4-weeks</v>
      </c>
      <c r="M170" t="str">
        <f t="shared" si="5"/>
        <v>No Risk</v>
      </c>
    </row>
    <row r="171" spans="1:13" x14ac:dyDescent="0.35">
      <c r="A171">
        <v>270</v>
      </c>
      <c r="B171" t="s">
        <v>15</v>
      </c>
      <c r="C171">
        <v>34</v>
      </c>
      <c r="D171" t="s">
        <v>16</v>
      </c>
      <c r="E171" t="s">
        <v>17</v>
      </c>
      <c r="F171" s="2">
        <v>800.2</v>
      </c>
      <c r="G171">
        <v>11</v>
      </c>
      <c r="H171">
        <v>4.0999999999999996</v>
      </c>
      <c r="I171" t="b">
        <v>0</v>
      </c>
      <c r="J171" s="12">
        <v>17</v>
      </c>
      <c r="K171" t="s">
        <v>18</v>
      </c>
      <c r="L171" s="12" t="str">
        <f t="shared" si="4"/>
        <v>3-weeks</v>
      </c>
      <c r="M171" t="str">
        <f t="shared" si="5"/>
        <v>No Risk</v>
      </c>
    </row>
    <row r="172" spans="1:13" x14ac:dyDescent="0.35">
      <c r="A172">
        <v>271</v>
      </c>
      <c r="B172" t="s">
        <v>11</v>
      </c>
      <c r="C172">
        <v>43</v>
      </c>
      <c r="D172" t="s">
        <v>19</v>
      </c>
      <c r="E172" t="s">
        <v>20</v>
      </c>
      <c r="F172" s="2">
        <v>500.75</v>
      </c>
      <c r="G172">
        <v>10</v>
      </c>
      <c r="H172">
        <v>3.3</v>
      </c>
      <c r="I172" t="b">
        <v>1</v>
      </c>
      <c r="J172" s="12">
        <v>40</v>
      </c>
      <c r="K172" t="s">
        <v>21</v>
      </c>
      <c r="L172" s="12" t="str">
        <f t="shared" si="4"/>
        <v>6-weeks</v>
      </c>
      <c r="M172" t="str">
        <f t="shared" si="5"/>
        <v>At Risk</v>
      </c>
    </row>
    <row r="173" spans="1:13" x14ac:dyDescent="0.35">
      <c r="A173">
        <v>272</v>
      </c>
      <c r="B173" t="s">
        <v>15</v>
      </c>
      <c r="C173">
        <v>30</v>
      </c>
      <c r="D173" t="s">
        <v>22</v>
      </c>
      <c r="E173" t="s">
        <v>13</v>
      </c>
      <c r="F173" s="2">
        <v>1460.5</v>
      </c>
      <c r="G173">
        <v>20</v>
      </c>
      <c r="H173">
        <v>4.8</v>
      </c>
      <c r="I173" t="b">
        <v>0</v>
      </c>
      <c r="J173" s="12">
        <v>12</v>
      </c>
      <c r="K173" t="s">
        <v>14</v>
      </c>
      <c r="L173" s="12" t="str">
        <f t="shared" si="4"/>
        <v>2-weeks</v>
      </c>
      <c r="M173" t="str">
        <f t="shared" si="5"/>
        <v>No Risk</v>
      </c>
    </row>
    <row r="174" spans="1:13" x14ac:dyDescent="0.35">
      <c r="A174">
        <v>273</v>
      </c>
      <c r="B174" t="s">
        <v>15</v>
      </c>
      <c r="C174">
        <v>27</v>
      </c>
      <c r="D174" t="s">
        <v>23</v>
      </c>
      <c r="E174" t="s">
        <v>17</v>
      </c>
      <c r="F174" s="2">
        <v>700.4</v>
      </c>
      <c r="G174">
        <v>13</v>
      </c>
      <c r="H174">
        <v>4</v>
      </c>
      <c r="I174" t="b">
        <v>1</v>
      </c>
      <c r="J174" s="12">
        <v>53</v>
      </c>
      <c r="K174" t="s">
        <v>21</v>
      </c>
      <c r="L174" s="12" t="str">
        <f t="shared" si="4"/>
        <v>8-weeks</v>
      </c>
      <c r="M174" t="str">
        <f t="shared" si="5"/>
        <v>At Risk</v>
      </c>
    </row>
    <row r="175" spans="1:13" x14ac:dyDescent="0.35">
      <c r="A175">
        <v>274</v>
      </c>
      <c r="B175" t="s">
        <v>11</v>
      </c>
      <c r="C175">
        <v>37</v>
      </c>
      <c r="D175" t="s">
        <v>24</v>
      </c>
      <c r="E175" t="s">
        <v>20</v>
      </c>
      <c r="F175" s="2">
        <v>430.8</v>
      </c>
      <c r="G175">
        <v>7</v>
      </c>
      <c r="H175">
        <v>3.4</v>
      </c>
      <c r="I175" t="b">
        <v>0</v>
      </c>
      <c r="J175" s="12">
        <v>23</v>
      </c>
      <c r="K175" t="s">
        <v>18</v>
      </c>
      <c r="L175" s="12" t="str">
        <f t="shared" si="4"/>
        <v>4-weeks</v>
      </c>
      <c r="M175" t="str">
        <f t="shared" si="5"/>
        <v>No Risk</v>
      </c>
    </row>
    <row r="176" spans="1:13" x14ac:dyDescent="0.35">
      <c r="A176">
        <v>275</v>
      </c>
      <c r="B176" t="s">
        <v>11</v>
      </c>
      <c r="C176">
        <v>31</v>
      </c>
      <c r="D176" t="s">
        <v>12</v>
      </c>
      <c r="E176" t="s">
        <v>13</v>
      </c>
      <c r="F176" s="2">
        <v>1140.5999999999999</v>
      </c>
      <c r="G176">
        <v>15</v>
      </c>
      <c r="H176">
        <v>4.5</v>
      </c>
      <c r="I176" t="b">
        <v>1</v>
      </c>
      <c r="J176" s="12">
        <v>27</v>
      </c>
      <c r="K176" t="s">
        <v>14</v>
      </c>
      <c r="L176" s="12" t="str">
        <f t="shared" si="4"/>
        <v>4-weeks</v>
      </c>
      <c r="M176" t="str">
        <f t="shared" si="5"/>
        <v>No Risk</v>
      </c>
    </row>
    <row r="177" spans="1:13" x14ac:dyDescent="0.35">
      <c r="A177">
        <v>276</v>
      </c>
      <c r="B177" t="s">
        <v>15</v>
      </c>
      <c r="C177">
        <v>35</v>
      </c>
      <c r="D177" t="s">
        <v>16</v>
      </c>
      <c r="E177" t="s">
        <v>17</v>
      </c>
      <c r="F177" s="2">
        <v>820.9</v>
      </c>
      <c r="G177">
        <v>12</v>
      </c>
      <c r="H177">
        <v>4.3</v>
      </c>
      <c r="I177" t="b">
        <v>0</v>
      </c>
      <c r="J177" s="12">
        <v>12</v>
      </c>
      <c r="K177" t="s">
        <v>18</v>
      </c>
      <c r="L177" s="12" t="str">
        <f t="shared" si="4"/>
        <v>2-weeks</v>
      </c>
      <c r="M177" t="str">
        <f t="shared" si="5"/>
        <v>No Risk</v>
      </c>
    </row>
    <row r="178" spans="1:13" x14ac:dyDescent="0.35">
      <c r="A178">
        <v>277</v>
      </c>
      <c r="B178" t="s">
        <v>11</v>
      </c>
      <c r="C178">
        <v>41</v>
      </c>
      <c r="D178" t="s">
        <v>19</v>
      </c>
      <c r="E178" t="s">
        <v>20</v>
      </c>
      <c r="F178" s="2">
        <v>480.25</v>
      </c>
      <c r="G178">
        <v>9</v>
      </c>
      <c r="H178">
        <v>3.6</v>
      </c>
      <c r="I178" t="b">
        <v>1</v>
      </c>
      <c r="J178" s="12">
        <v>38</v>
      </c>
      <c r="K178" t="s">
        <v>21</v>
      </c>
      <c r="L178" s="12" t="str">
        <f t="shared" si="4"/>
        <v>6-weeks</v>
      </c>
      <c r="M178" t="str">
        <f t="shared" si="5"/>
        <v>At Risk</v>
      </c>
    </row>
    <row r="179" spans="1:13" x14ac:dyDescent="0.35">
      <c r="A179">
        <v>278</v>
      </c>
      <c r="B179" t="s">
        <v>15</v>
      </c>
      <c r="C179">
        <v>28</v>
      </c>
      <c r="D179" t="s">
        <v>22</v>
      </c>
      <c r="E179" t="s">
        <v>13</v>
      </c>
      <c r="F179" s="2">
        <v>1490.1</v>
      </c>
      <c r="G179">
        <v>21</v>
      </c>
      <c r="H179">
        <v>4.9000000000000004</v>
      </c>
      <c r="I179" t="b">
        <v>0</v>
      </c>
      <c r="J179" s="12">
        <v>9</v>
      </c>
      <c r="K179" t="s">
        <v>14</v>
      </c>
      <c r="L179" s="12" t="str">
        <f t="shared" si="4"/>
        <v>2-weeks</v>
      </c>
      <c r="M179" t="str">
        <f t="shared" si="5"/>
        <v>No Risk</v>
      </c>
    </row>
    <row r="180" spans="1:13" x14ac:dyDescent="0.35">
      <c r="A180">
        <v>279</v>
      </c>
      <c r="B180" t="s">
        <v>15</v>
      </c>
      <c r="C180">
        <v>32</v>
      </c>
      <c r="D180" t="s">
        <v>23</v>
      </c>
      <c r="E180" t="s">
        <v>17</v>
      </c>
      <c r="F180" s="2">
        <v>680.3</v>
      </c>
      <c r="G180">
        <v>10</v>
      </c>
      <c r="H180">
        <v>3.8</v>
      </c>
      <c r="I180" t="b">
        <v>1</v>
      </c>
      <c r="J180" s="12">
        <v>32</v>
      </c>
      <c r="K180" t="s">
        <v>21</v>
      </c>
      <c r="L180" s="12" t="str">
        <f t="shared" si="4"/>
        <v>5-weeks</v>
      </c>
      <c r="M180" t="str">
        <f t="shared" si="5"/>
        <v>At Risk</v>
      </c>
    </row>
    <row r="181" spans="1:13" x14ac:dyDescent="0.35">
      <c r="A181">
        <v>280</v>
      </c>
      <c r="B181" t="s">
        <v>11</v>
      </c>
      <c r="C181">
        <v>36</v>
      </c>
      <c r="D181" t="s">
        <v>24</v>
      </c>
      <c r="E181" t="s">
        <v>20</v>
      </c>
      <c r="F181" s="2">
        <v>470.5</v>
      </c>
      <c r="G181">
        <v>8</v>
      </c>
      <c r="H181">
        <v>3</v>
      </c>
      <c r="I181" t="b">
        <v>0</v>
      </c>
      <c r="J181" s="12">
        <v>18</v>
      </c>
      <c r="K181" t="s">
        <v>18</v>
      </c>
      <c r="L181" s="12" t="str">
        <f t="shared" si="4"/>
        <v>3-weeks</v>
      </c>
      <c r="M181" t="str">
        <f t="shared" si="5"/>
        <v>No Risk</v>
      </c>
    </row>
    <row r="182" spans="1:13" x14ac:dyDescent="0.35">
      <c r="A182">
        <v>281</v>
      </c>
      <c r="B182" t="s">
        <v>11</v>
      </c>
      <c r="C182">
        <v>30</v>
      </c>
      <c r="D182" t="s">
        <v>12</v>
      </c>
      <c r="E182" t="s">
        <v>13</v>
      </c>
      <c r="F182" s="2">
        <v>1180.8</v>
      </c>
      <c r="G182">
        <v>16</v>
      </c>
      <c r="H182">
        <v>4.7</v>
      </c>
      <c r="I182" t="b">
        <v>1</v>
      </c>
      <c r="J182" s="12">
        <v>19</v>
      </c>
      <c r="K182" t="s">
        <v>14</v>
      </c>
      <c r="L182" s="12" t="str">
        <f t="shared" si="4"/>
        <v>3-weeks</v>
      </c>
      <c r="M182" t="str">
        <f t="shared" si="5"/>
        <v>No Risk</v>
      </c>
    </row>
    <row r="183" spans="1:13" x14ac:dyDescent="0.35">
      <c r="A183">
        <v>282</v>
      </c>
      <c r="B183" t="s">
        <v>15</v>
      </c>
      <c r="C183">
        <v>34</v>
      </c>
      <c r="D183" t="s">
        <v>16</v>
      </c>
      <c r="E183" t="s">
        <v>17</v>
      </c>
      <c r="F183" s="2">
        <v>790.2</v>
      </c>
      <c r="G183">
        <v>11</v>
      </c>
      <c r="H183">
        <v>4</v>
      </c>
      <c r="I183" t="b">
        <v>0</v>
      </c>
      <c r="J183" s="12">
        <v>15</v>
      </c>
      <c r="K183" t="s">
        <v>18</v>
      </c>
      <c r="L183" s="12" t="str">
        <f t="shared" si="4"/>
        <v>3-weeks</v>
      </c>
      <c r="M183" t="str">
        <f t="shared" si="5"/>
        <v>No Risk</v>
      </c>
    </row>
    <row r="184" spans="1:13" x14ac:dyDescent="0.35">
      <c r="A184">
        <v>283</v>
      </c>
      <c r="B184" t="s">
        <v>11</v>
      </c>
      <c r="C184">
        <v>43</v>
      </c>
      <c r="D184" t="s">
        <v>19</v>
      </c>
      <c r="E184" t="s">
        <v>20</v>
      </c>
      <c r="F184" s="2">
        <v>505.75</v>
      </c>
      <c r="G184">
        <v>10</v>
      </c>
      <c r="H184">
        <v>3.3</v>
      </c>
      <c r="I184" t="b">
        <v>1</v>
      </c>
      <c r="J184" s="12">
        <v>39</v>
      </c>
      <c r="K184" t="s">
        <v>21</v>
      </c>
      <c r="L184" s="12" t="str">
        <f t="shared" si="4"/>
        <v>6-weeks</v>
      </c>
      <c r="M184" t="str">
        <f t="shared" si="5"/>
        <v>At Risk</v>
      </c>
    </row>
    <row r="185" spans="1:13" x14ac:dyDescent="0.35">
      <c r="A185">
        <v>284</v>
      </c>
      <c r="B185" t="s">
        <v>15</v>
      </c>
      <c r="C185">
        <v>30</v>
      </c>
      <c r="D185" t="s">
        <v>22</v>
      </c>
      <c r="E185" t="s">
        <v>13</v>
      </c>
      <c r="F185" s="2">
        <v>1470.5</v>
      </c>
      <c r="G185">
        <v>20</v>
      </c>
      <c r="H185">
        <v>4.8</v>
      </c>
      <c r="I185" t="b">
        <v>0</v>
      </c>
      <c r="J185" s="12">
        <v>13</v>
      </c>
      <c r="K185" t="s">
        <v>14</v>
      </c>
      <c r="L185" s="12" t="str">
        <f t="shared" si="4"/>
        <v>2-weeks</v>
      </c>
      <c r="M185" t="str">
        <f t="shared" si="5"/>
        <v>No Risk</v>
      </c>
    </row>
    <row r="186" spans="1:13" x14ac:dyDescent="0.35">
      <c r="A186">
        <v>285</v>
      </c>
      <c r="B186" t="s">
        <v>15</v>
      </c>
      <c r="C186">
        <v>27</v>
      </c>
      <c r="D186" t="s">
        <v>23</v>
      </c>
      <c r="E186" t="s">
        <v>17</v>
      </c>
      <c r="F186" s="2">
        <v>710.4</v>
      </c>
      <c r="G186">
        <v>13</v>
      </c>
      <c r="H186">
        <v>4.0999999999999996</v>
      </c>
      <c r="I186" t="b">
        <v>1</v>
      </c>
      <c r="J186" s="12">
        <v>54</v>
      </c>
      <c r="K186" t="s">
        <v>21</v>
      </c>
      <c r="L186" s="12" t="str">
        <f t="shared" si="4"/>
        <v>8-weeks</v>
      </c>
      <c r="M186" t="str">
        <f t="shared" si="5"/>
        <v>At Risk</v>
      </c>
    </row>
    <row r="187" spans="1:13" x14ac:dyDescent="0.35">
      <c r="A187">
        <v>286</v>
      </c>
      <c r="B187" t="s">
        <v>11</v>
      </c>
      <c r="C187">
        <v>37</v>
      </c>
      <c r="D187" t="s">
        <v>24</v>
      </c>
      <c r="E187" t="s">
        <v>20</v>
      </c>
      <c r="F187" s="2">
        <v>430.8</v>
      </c>
      <c r="G187">
        <v>7</v>
      </c>
      <c r="H187">
        <v>3.4</v>
      </c>
      <c r="I187" t="b">
        <v>0</v>
      </c>
      <c r="J187" s="12">
        <v>23</v>
      </c>
      <c r="K187" t="s">
        <v>18</v>
      </c>
      <c r="L187" s="12" t="str">
        <f t="shared" si="4"/>
        <v>4-weeks</v>
      </c>
      <c r="M187" t="str">
        <f t="shared" si="5"/>
        <v>No Risk</v>
      </c>
    </row>
    <row r="188" spans="1:13" x14ac:dyDescent="0.35">
      <c r="A188">
        <v>287</v>
      </c>
      <c r="B188" t="s">
        <v>11</v>
      </c>
      <c r="C188">
        <v>31</v>
      </c>
      <c r="D188" t="s">
        <v>12</v>
      </c>
      <c r="E188" t="s">
        <v>13</v>
      </c>
      <c r="F188" s="2">
        <v>1130.5999999999999</v>
      </c>
      <c r="G188">
        <v>15</v>
      </c>
      <c r="H188">
        <v>4.5</v>
      </c>
      <c r="I188" t="b">
        <v>1</v>
      </c>
      <c r="J188" s="12">
        <v>26</v>
      </c>
      <c r="K188" t="s">
        <v>14</v>
      </c>
      <c r="L188" s="12" t="str">
        <f t="shared" si="4"/>
        <v>4-weeks</v>
      </c>
      <c r="M188" t="str">
        <f t="shared" si="5"/>
        <v>No Risk</v>
      </c>
    </row>
    <row r="189" spans="1:13" x14ac:dyDescent="0.35">
      <c r="A189">
        <v>288</v>
      </c>
      <c r="B189" t="s">
        <v>15</v>
      </c>
      <c r="C189">
        <v>35</v>
      </c>
      <c r="D189" t="s">
        <v>16</v>
      </c>
      <c r="E189" t="s">
        <v>17</v>
      </c>
      <c r="F189" s="2">
        <v>820.9</v>
      </c>
      <c r="G189">
        <v>12</v>
      </c>
      <c r="H189">
        <v>4.3</v>
      </c>
      <c r="I189" t="b">
        <v>0</v>
      </c>
      <c r="J189" s="12">
        <v>13</v>
      </c>
      <c r="K189" t="s">
        <v>18</v>
      </c>
      <c r="L189" s="12" t="str">
        <f t="shared" si="4"/>
        <v>2-weeks</v>
      </c>
      <c r="M189" t="str">
        <f t="shared" si="5"/>
        <v>No Risk</v>
      </c>
    </row>
    <row r="190" spans="1:13" x14ac:dyDescent="0.35">
      <c r="A190">
        <v>289</v>
      </c>
      <c r="B190" t="s">
        <v>11</v>
      </c>
      <c r="C190">
        <v>41</v>
      </c>
      <c r="D190" t="s">
        <v>19</v>
      </c>
      <c r="E190" t="s">
        <v>20</v>
      </c>
      <c r="F190" s="2">
        <v>485.25</v>
      </c>
      <c r="G190">
        <v>9</v>
      </c>
      <c r="H190">
        <v>3.6</v>
      </c>
      <c r="I190" t="b">
        <v>1</v>
      </c>
      <c r="J190" s="12">
        <v>39</v>
      </c>
      <c r="K190" t="s">
        <v>21</v>
      </c>
      <c r="L190" s="12" t="str">
        <f t="shared" si="4"/>
        <v>6-weeks</v>
      </c>
      <c r="M190" t="str">
        <f t="shared" si="5"/>
        <v>At Risk</v>
      </c>
    </row>
    <row r="191" spans="1:13" x14ac:dyDescent="0.35">
      <c r="A191">
        <v>290</v>
      </c>
      <c r="B191" t="s">
        <v>15</v>
      </c>
      <c r="C191">
        <v>28</v>
      </c>
      <c r="D191" t="s">
        <v>22</v>
      </c>
      <c r="E191" t="s">
        <v>13</v>
      </c>
      <c r="F191" s="2">
        <v>1500.1</v>
      </c>
      <c r="G191">
        <v>21</v>
      </c>
      <c r="H191">
        <v>4.9000000000000004</v>
      </c>
      <c r="I191" t="b">
        <v>0</v>
      </c>
      <c r="J191" s="12">
        <v>10</v>
      </c>
      <c r="K191" t="s">
        <v>14</v>
      </c>
      <c r="L191" s="12" t="str">
        <f t="shared" si="4"/>
        <v>2-weeks</v>
      </c>
      <c r="M191" t="str">
        <f t="shared" si="5"/>
        <v>No Risk</v>
      </c>
    </row>
    <row r="192" spans="1:13" x14ac:dyDescent="0.35">
      <c r="A192">
        <v>291</v>
      </c>
      <c r="B192" t="s">
        <v>15</v>
      </c>
      <c r="C192">
        <v>32</v>
      </c>
      <c r="D192" t="s">
        <v>23</v>
      </c>
      <c r="E192" t="s">
        <v>17</v>
      </c>
      <c r="F192" s="2">
        <v>670.3</v>
      </c>
      <c r="G192">
        <v>10</v>
      </c>
      <c r="H192">
        <v>3.8</v>
      </c>
      <c r="I192" t="b">
        <v>1</v>
      </c>
      <c r="J192" s="12">
        <v>33</v>
      </c>
      <c r="K192" t="s">
        <v>21</v>
      </c>
      <c r="L192" s="12" t="str">
        <f t="shared" si="4"/>
        <v>5-weeks</v>
      </c>
      <c r="M192" t="str">
        <f t="shared" si="5"/>
        <v>At Risk</v>
      </c>
    </row>
    <row r="193" spans="1:13" x14ac:dyDescent="0.35">
      <c r="A193">
        <v>292</v>
      </c>
      <c r="B193" t="s">
        <v>11</v>
      </c>
      <c r="C193">
        <v>36</v>
      </c>
      <c r="D193" t="s">
        <v>24</v>
      </c>
      <c r="E193" t="s">
        <v>20</v>
      </c>
      <c r="F193" s="2">
        <v>460.5</v>
      </c>
      <c r="G193">
        <v>8</v>
      </c>
      <c r="H193">
        <v>3.1</v>
      </c>
      <c r="I193" t="b">
        <v>0</v>
      </c>
      <c r="J193" s="12">
        <v>19</v>
      </c>
      <c r="K193" t="s">
        <v>18</v>
      </c>
      <c r="L193" s="12" t="str">
        <f t="shared" si="4"/>
        <v>3-weeks</v>
      </c>
      <c r="M193" t="str">
        <f t="shared" si="5"/>
        <v>No Risk</v>
      </c>
    </row>
    <row r="194" spans="1:13" x14ac:dyDescent="0.35">
      <c r="A194">
        <v>293</v>
      </c>
      <c r="B194" t="s">
        <v>11</v>
      </c>
      <c r="C194">
        <v>30</v>
      </c>
      <c r="D194" t="s">
        <v>12</v>
      </c>
      <c r="E194" t="s">
        <v>13</v>
      </c>
      <c r="F194" s="2">
        <v>1190.8</v>
      </c>
      <c r="G194">
        <v>16</v>
      </c>
      <c r="H194">
        <v>4.5</v>
      </c>
      <c r="I194" t="b">
        <v>1</v>
      </c>
      <c r="J194" s="12">
        <v>20</v>
      </c>
      <c r="K194" t="s">
        <v>14</v>
      </c>
      <c r="L194" s="12" t="str">
        <f t="shared" ref="L194:L257" si="6">_xlfn.IFS(J194&lt;=7,"1-week",J194&lt;=14,"2-weeks", J194&lt;=21,"3-weeks",J194&lt;=28,"4-weeks",J194&lt;=35,"5-weeks",J194&lt;=42,"6-weeks",J194&lt;=49,"7-weeks",J194&lt;=56,"8-weeks",J194&lt;=63,"9-weeks")</f>
        <v>3-weeks</v>
      </c>
      <c r="M194" t="str">
        <f t="shared" ref="M194:M257" si="7">IF(J194&gt;28, "At Risk", "No Risk")</f>
        <v>No Risk</v>
      </c>
    </row>
    <row r="195" spans="1:13" x14ac:dyDescent="0.35">
      <c r="A195">
        <v>294</v>
      </c>
      <c r="B195" t="s">
        <v>15</v>
      </c>
      <c r="C195">
        <v>33</v>
      </c>
      <c r="D195" t="s">
        <v>16</v>
      </c>
      <c r="E195" t="s">
        <v>17</v>
      </c>
      <c r="F195" s="2">
        <v>830.75</v>
      </c>
      <c r="G195">
        <v>13</v>
      </c>
      <c r="H195">
        <v>4.2</v>
      </c>
      <c r="I195" t="b">
        <v>0</v>
      </c>
      <c r="J195" s="12">
        <v>14</v>
      </c>
      <c r="K195" t="s">
        <v>14</v>
      </c>
      <c r="L195" s="12" t="str">
        <f t="shared" si="6"/>
        <v>2-weeks</v>
      </c>
      <c r="M195" t="str">
        <f t="shared" si="7"/>
        <v>No Risk</v>
      </c>
    </row>
    <row r="196" spans="1:13" x14ac:dyDescent="0.35">
      <c r="A196">
        <v>295</v>
      </c>
      <c r="B196" t="s">
        <v>11</v>
      </c>
      <c r="C196">
        <v>42</v>
      </c>
      <c r="D196" t="s">
        <v>19</v>
      </c>
      <c r="E196" t="s">
        <v>20</v>
      </c>
      <c r="F196" s="2">
        <v>520.4</v>
      </c>
      <c r="G196">
        <v>9</v>
      </c>
      <c r="H196">
        <v>3.5</v>
      </c>
      <c r="I196" t="b">
        <v>1</v>
      </c>
      <c r="J196" s="12">
        <v>37</v>
      </c>
      <c r="K196" t="s">
        <v>21</v>
      </c>
      <c r="L196" s="12" t="str">
        <f t="shared" si="6"/>
        <v>6-weeks</v>
      </c>
      <c r="M196" t="str">
        <f t="shared" si="7"/>
        <v>At Risk</v>
      </c>
    </row>
    <row r="197" spans="1:13" x14ac:dyDescent="0.35">
      <c r="A197">
        <v>296</v>
      </c>
      <c r="B197" t="s">
        <v>15</v>
      </c>
      <c r="C197">
        <v>29</v>
      </c>
      <c r="D197" t="s">
        <v>22</v>
      </c>
      <c r="E197" t="s">
        <v>13</v>
      </c>
      <c r="F197" s="2">
        <v>1370.2</v>
      </c>
      <c r="G197">
        <v>18</v>
      </c>
      <c r="H197">
        <v>4.7</v>
      </c>
      <c r="I197" t="b">
        <v>0</v>
      </c>
      <c r="J197" s="12">
        <v>10</v>
      </c>
      <c r="K197" t="s">
        <v>14</v>
      </c>
      <c r="L197" s="12" t="str">
        <f t="shared" si="6"/>
        <v>2-weeks</v>
      </c>
      <c r="M197" t="str">
        <f t="shared" si="7"/>
        <v>No Risk</v>
      </c>
    </row>
    <row r="198" spans="1:13" x14ac:dyDescent="0.35">
      <c r="A198">
        <v>297</v>
      </c>
      <c r="B198" t="s">
        <v>15</v>
      </c>
      <c r="C198">
        <v>26</v>
      </c>
      <c r="D198" t="s">
        <v>23</v>
      </c>
      <c r="E198" t="s">
        <v>17</v>
      </c>
      <c r="F198" s="2">
        <v>690.6</v>
      </c>
      <c r="G198">
        <v>12</v>
      </c>
      <c r="H198">
        <v>3.9</v>
      </c>
      <c r="I198" t="b">
        <v>1</v>
      </c>
      <c r="J198" s="12">
        <v>47</v>
      </c>
      <c r="K198" t="s">
        <v>21</v>
      </c>
      <c r="L198" s="12" t="str">
        <f t="shared" si="6"/>
        <v>7-weeks</v>
      </c>
      <c r="M198" t="str">
        <f t="shared" si="7"/>
        <v>At Risk</v>
      </c>
    </row>
    <row r="199" spans="1:13" x14ac:dyDescent="0.35">
      <c r="A199">
        <v>298</v>
      </c>
      <c r="B199" t="s">
        <v>11</v>
      </c>
      <c r="C199">
        <v>38</v>
      </c>
      <c r="D199" t="s">
        <v>24</v>
      </c>
      <c r="E199" t="s">
        <v>20</v>
      </c>
      <c r="F199" s="2">
        <v>440.9</v>
      </c>
      <c r="G199">
        <v>8</v>
      </c>
      <c r="H199">
        <v>3.2</v>
      </c>
      <c r="I199" t="b">
        <v>0</v>
      </c>
      <c r="J199" s="12">
        <v>24</v>
      </c>
      <c r="K199" t="s">
        <v>18</v>
      </c>
      <c r="L199" s="12" t="str">
        <f t="shared" si="6"/>
        <v>4-weeks</v>
      </c>
      <c r="M199" t="str">
        <f t="shared" si="7"/>
        <v>No Risk</v>
      </c>
    </row>
    <row r="200" spans="1:13" x14ac:dyDescent="0.35">
      <c r="A200">
        <v>299</v>
      </c>
      <c r="B200" t="s">
        <v>11</v>
      </c>
      <c r="C200">
        <v>32</v>
      </c>
      <c r="D200" t="s">
        <v>12</v>
      </c>
      <c r="E200" t="s">
        <v>13</v>
      </c>
      <c r="F200" s="2">
        <v>1160.3</v>
      </c>
      <c r="G200">
        <v>14</v>
      </c>
      <c r="H200">
        <v>4.4000000000000004</v>
      </c>
      <c r="I200" t="b">
        <v>1</v>
      </c>
      <c r="J200" s="12">
        <v>22</v>
      </c>
      <c r="K200" t="s">
        <v>14</v>
      </c>
      <c r="L200" s="12" t="str">
        <f t="shared" si="6"/>
        <v>4-weeks</v>
      </c>
      <c r="M200" t="str">
        <f t="shared" si="7"/>
        <v>No Risk</v>
      </c>
    </row>
    <row r="201" spans="1:13" x14ac:dyDescent="0.35">
      <c r="A201">
        <v>300</v>
      </c>
      <c r="B201" t="s">
        <v>15</v>
      </c>
      <c r="C201">
        <v>34</v>
      </c>
      <c r="D201" t="s">
        <v>16</v>
      </c>
      <c r="E201" t="s">
        <v>17</v>
      </c>
      <c r="F201" s="2">
        <v>800.2</v>
      </c>
      <c r="G201">
        <v>11</v>
      </c>
      <c r="H201">
        <v>4.0999999999999996</v>
      </c>
      <c r="I201" t="b">
        <v>0</v>
      </c>
      <c r="J201" s="12">
        <v>17</v>
      </c>
      <c r="K201" t="s">
        <v>18</v>
      </c>
      <c r="L201" s="12" t="str">
        <f t="shared" si="6"/>
        <v>3-weeks</v>
      </c>
      <c r="M201" t="str">
        <f t="shared" si="7"/>
        <v>No Risk</v>
      </c>
    </row>
    <row r="202" spans="1:13" x14ac:dyDescent="0.35">
      <c r="A202">
        <v>301</v>
      </c>
      <c r="B202" t="s">
        <v>15</v>
      </c>
      <c r="C202">
        <v>36</v>
      </c>
      <c r="D202" t="s">
        <v>22</v>
      </c>
      <c r="E202" t="s">
        <v>13</v>
      </c>
      <c r="F202" s="2">
        <v>1420.8</v>
      </c>
      <c r="G202">
        <v>19</v>
      </c>
      <c r="H202">
        <v>4.5999999999999996</v>
      </c>
      <c r="I202" t="b">
        <v>0</v>
      </c>
      <c r="J202" s="12">
        <v>11</v>
      </c>
      <c r="K202" t="s">
        <v>14</v>
      </c>
      <c r="L202" s="12" t="str">
        <f t="shared" si="6"/>
        <v>2-weeks</v>
      </c>
      <c r="M202" t="str">
        <f t="shared" si="7"/>
        <v>No Risk</v>
      </c>
    </row>
    <row r="203" spans="1:13" x14ac:dyDescent="0.35">
      <c r="A203">
        <v>302</v>
      </c>
      <c r="B203" t="s">
        <v>11</v>
      </c>
      <c r="C203">
        <v>29</v>
      </c>
      <c r="D203" t="s">
        <v>23</v>
      </c>
      <c r="E203" t="s">
        <v>17</v>
      </c>
      <c r="F203" s="2">
        <v>730.4</v>
      </c>
      <c r="G203">
        <v>14</v>
      </c>
      <c r="H203">
        <v>4</v>
      </c>
      <c r="I203" t="b">
        <v>1</v>
      </c>
      <c r="J203" s="12">
        <v>50</v>
      </c>
      <c r="K203" t="s">
        <v>21</v>
      </c>
      <c r="L203" s="12" t="str">
        <f t="shared" si="6"/>
        <v>8-weeks</v>
      </c>
      <c r="M203" t="str">
        <f t="shared" si="7"/>
        <v>At Risk</v>
      </c>
    </row>
    <row r="204" spans="1:13" x14ac:dyDescent="0.35">
      <c r="A204">
        <v>303</v>
      </c>
      <c r="B204" t="s">
        <v>11</v>
      </c>
      <c r="C204">
        <v>35</v>
      </c>
      <c r="D204" t="s">
        <v>24</v>
      </c>
      <c r="E204" t="s">
        <v>20</v>
      </c>
      <c r="F204" s="2">
        <v>450.6</v>
      </c>
      <c r="G204">
        <v>7</v>
      </c>
      <c r="H204">
        <v>3.3</v>
      </c>
      <c r="I204" t="b">
        <v>0</v>
      </c>
      <c r="J204" s="12">
        <v>21</v>
      </c>
      <c r="K204" t="s">
        <v>18</v>
      </c>
      <c r="L204" s="12" t="str">
        <f t="shared" si="6"/>
        <v>3-weeks</v>
      </c>
      <c r="M204" t="str">
        <f t="shared" si="7"/>
        <v>No Risk</v>
      </c>
    </row>
    <row r="205" spans="1:13" x14ac:dyDescent="0.35">
      <c r="A205">
        <v>304</v>
      </c>
      <c r="B205" t="s">
        <v>15</v>
      </c>
      <c r="C205">
        <v>31</v>
      </c>
      <c r="D205" t="s">
        <v>12</v>
      </c>
      <c r="E205" t="s">
        <v>13</v>
      </c>
      <c r="F205" s="2">
        <v>1210.5999999999999</v>
      </c>
      <c r="G205">
        <v>17</v>
      </c>
      <c r="H205">
        <v>4.8</v>
      </c>
      <c r="I205" t="b">
        <v>1</v>
      </c>
      <c r="J205" s="12">
        <v>18</v>
      </c>
      <c r="K205" t="s">
        <v>14</v>
      </c>
      <c r="L205" s="12" t="str">
        <f t="shared" si="6"/>
        <v>3-weeks</v>
      </c>
      <c r="M205" t="str">
        <f t="shared" si="7"/>
        <v>No Risk</v>
      </c>
    </row>
    <row r="206" spans="1:13" x14ac:dyDescent="0.35">
      <c r="A206">
        <v>305</v>
      </c>
      <c r="B206" t="s">
        <v>15</v>
      </c>
      <c r="C206">
        <v>27</v>
      </c>
      <c r="D206" t="s">
        <v>16</v>
      </c>
      <c r="E206" t="s">
        <v>17</v>
      </c>
      <c r="F206" s="2">
        <v>780.9</v>
      </c>
      <c r="G206">
        <v>11</v>
      </c>
      <c r="H206">
        <v>4.2</v>
      </c>
      <c r="I206" t="b">
        <v>0</v>
      </c>
      <c r="J206" s="12">
        <v>16</v>
      </c>
      <c r="K206" t="s">
        <v>18</v>
      </c>
      <c r="L206" s="12" t="str">
        <f t="shared" si="6"/>
        <v>3-weeks</v>
      </c>
      <c r="M206" t="str">
        <f t="shared" si="7"/>
        <v>No Risk</v>
      </c>
    </row>
    <row r="207" spans="1:13" x14ac:dyDescent="0.35">
      <c r="A207">
        <v>306</v>
      </c>
      <c r="B207" t="s">
        <v>11</v>
      </c>
      <c r="C207">
        <v>42</v>
      </c>
      <c r="D207" t="s">
        <v>19</v>
      </c>
      <c r="E207" t="s">
        <v>20</v>
      </c>
      <c r="F207" s="2">
        <v>495.25</v>
      </c>
      <c r="G207">
        <v>10</v>
      </c>
      <c r="H207">
        <v>3.5</v>
      </c>
      <c r="I207" t="b">
        <v>1</v>
      </c>
      <c r="J207" s="12">
        <v>35</v>
      </c>
      <c r="K207" t="s">
        <v>21</v>
      </c>
      <c r="L207" s="12" t="str">
        <f t="shared" si="6"/>
        <v>5-weeks</v>
      </c>
      <c r="M207" t="str">
        <f t="shared" si="7"/>
        <v>At Risk</v>
      </c>
    </row>
    <row r="208" spans="1:13" x14ac:dyDescent="0.35">
      <c r="A208">
        <v>307</v>
      </c>
      <c r="B208" t="s">
        <v>15</v>
      </c>
      <c r="C208">
        <v>29</v>
      </c>
      <c r="D208" t="s">
        <v>22</v>
      </c>
      <c r="E208" t="s">
        <v>13</v>
      </c>
      <c r="F208" s="2">
        <v>1390.2</v>
      </c>
      <c r="G208">
        <v>18</v>
      </c>
      <c r="H208">
        <v>4.7</v>
      </c>
      <c r="I208" t="b">
        <v>0</v>
      </c>
      <c r="J208" s="12">
        <v>9</v>
      </c>
      <c r="K208" t="s">
        <v>14</v>
      </c>
      <c r="L208" s="12" t="str">
        <f t="shared" si="6"/>
        <v>2-weeks</v>
      </c>
      <c r="M208" t="str">
        <f t="shared" si="7"/>
        <v>No Risk</v>
      </c>
    </row>
    <row r="209" spans="1:13" x14ac:dyDescent="0.35">
      <c r="A209">
        <v>308</v>
      </c>
      <c r="B209" t="s">
        <v>15</v>
      </c>
      <c r="C209">
        <v>26</v>
      </c>
      <c r="D209" t="s">
        <v>23</v>
      </c>
      <c r="E209" t="s">
        <v>17</v>
      </c>
      <c r="F209" s="2">
        <v>670.6</v>
      </c>
      <c r="G209">
        <v>12</v>
      </c>
      <c r="H209">
        <v>3.9</v>
      </c>
      <c r="I209" t="b">
        <v>1</v>
      </c>
      <c r="J209" s="12">
        <v>46</v>
      </c>
      <c r="K209" t="s">
        <v>21</v>
      </c>
      <c r="L209" s="12" t="str">
        <f t="shared" si="6"/>
        <v>7-weeks</v>
      </c>
      <c r="M209" t="str">
        <f t="shared" si="7"/>
        <v>At Risk</v>
      </c>
    </row>
    <row r="210" spans="1:13" x14ac:dyDescent="0.35">
      <c r="A210">
        <v>309</v>
      </c>
      <c r="B210" t="s">
        <v>11</v>
      </c>
      <c r="C210">
        <v>38</v>
      </c>
      <c r="D210" t="s">
        <v>24</v>
      </c>
      <c r="E210" t="s">
        <v>20</v>
      </c>
      <c r="F210" s="2">
        <v>460.9</v>
      </c>
      <c r="G210">
        <v>8</v>
      </c>
      <c r="H210">
        <v>3.2</v>
      </c>
      <c r="I210" t="b">
        <v>0</v>
      </c>
      <c r="J210" s="12">
        <v>25</v>
      </c>
      <c r="K210" t="s">
        <v>18</v>
      </c>
      <c r="L210" s="12" t="str">
        <f t="shared" si="6"/>
        <v>4-weeks</v>
      </c>
      <c r="M210" t="str">
        <f t="shared" si="7"/>
        <v>No Risk</v>
      </c>
    </row>
    <row r="211" spans="1:13" x14ac:dyDescent="0.35">
      <c r="A211">
        <v>310</v>
      </c>
      <c r="B211" t="s">
        <v>11</v>
      </c>
      <c r="C211">
        <v>32</v>
      </c>
      <c r="D211" t="s">
        <v>12</v>
      </c>
      <c r="E211" t="s">
        <v>13</v>
      </c>
      <c r="F211" s="2">
        <v>1170.3</v>
      </c>
      <c r="G211">
        <v>14</v>
      </c>
      <c r="H211">
        <v>4.5</v>
      </c>
      <c r="I211" t="b">
        <v>1</v>
      </c>
      <c r="J211" s="12">
        <v>21</v>
      </c>
      <c r="K211" t="s">
        <v>14</v>
      </c>
      <c r="L211" s="12" t="str">
        <f t="shared" si="6"/>
        <v>3-weeks</v>
      </c>
      <c r="M211" t="str">
        <f t="shared" si="7"/>
        <v>No Risk</v>
      </c>
    </row>
    <row r="212" spans="1:13" x14ac:dyDescent="0.35">
      <c r="A212">
        <v>311</v>
      </c>
      <c r="B212" t="s">
        <v>15</v>
      </c>
      <c r="C212">
        <v>34</v>
      </c>
      <c r="D212" t="s">
        <v>16</v>
      </c>
      <c r="E212" t="s">
        <v>17</v>
      </c>
      <c r="F212" s="2">
        <v>810.2</v>
      </c>
      <c r="G212">
        <v>11</v>
      </c>
      <c r="H212">
        <v>4</v>
      </c>
      <c r="I212" t="b">
        <v>0</v>
      </c>
      <c r="J212" s="12">
        <v>14</v>
      </c>
      <c r="K212" t="s">
        <v>18</v>
      </c>
      <c r="L212" s="12" t="str">
        <f t="shared" si="6"/>
        <v>2-weeks</v>
      </c>
      <c r="M212" t="str">
        <f t="shared" si="7"/>
        <v>No Risk</v>
      </c>
    </row>
    <row r="213" spans="1:13" x14ac:dyDescent="0.35">
      <c r="A213">
        <v>312</v>
      </c>
      <c r="B213" t="s">
        <v>11</v>
      </c>
      <c r="C213">
        <v>43</v>
      </c>
      <c r="D213" t="s">
        <v>19</v>
      </c>
      <c r="E213" t="s">
        <v>20</v>
      </c>
      <c r="F213" s="2">
        <v>515.75</v>
      </c>
      <c r="G213">
        <v>9</v>
      </c>
      <c r="H213">
        <v>3.3</v>
      </c>
      <c r="I213" t="b">
        <v>1</v>
      </c>
      <c r="J213" s="12">
        <v>38</v>
      </c>
      <c r="K213" t="s">
        <v>21</v>
      </c>
      <c r="L213" s="12" t="str">
        <f t="shared" si="6"/>
        <v>6-weeks</v>
      </c>
      <c r="M213" t="str">
        <f t="shared" si="7"/>
        <v>At Risk</v>
      </c>
    </row>
    <row r="214" spans="1:13" x14ac:dyDescent="0.35">
      <c r="A214">
        <v>313</v>
      </c>
      <c r="B214" t="s">
        <v>15</v>
      </c>
      <c r="C214">
        <v>30</v>
      </c>
      <c r="D214" t="s">
        <v>22</v>
      </c>
      <c r="E214" t="s">
        <v>13</v>
      </c>
      <c r="F214" s="2">
        <v>1450.5</v>
      </c>
      <c r="G214">
        <v>20</v>
      </c>
      <c r="H214">
        <v>4.8</v>
      </c>
      <c r="I214" t="b">
        <v>0</v>
      </c>
      <c r="J214" s="12">
        <v>12</v>
      </c>
      <c r="K214" t="s">
        <v>14</v>
      </c>
      <c r="L214" s="12" t="str">
        <f t="shared" si="6"/>
        <v>2-weeks</v>
      </c>
      <c r="M214" t="str">
        <f t="shared" si="7"/>
        <v>No Risk</v>
      </c>
    </row>
    <row r="215" spans="1:13" x14ac:dyDescent="0.35">
      <c r="A215">
        <v>314</v>
      </c>
      <c r="B215" t="s">
        <v>15</v>
      </c>
      <c r="C215">
        <v>27</v>
      </c>
      <c r="D215" t="s">
        <v>23</v>
      </c>
      <c r="E215" t="s">
        <v>17</v>
      </c>
      <c r="F215" s="2">
        <v>690.4</v>
      </c>
      <c r="G215">
        <v>13</v>
      </c>
      <c r="H215">
        <v>4.0999999999999996</v>
      </c>
      <c r="I215" t="b">
        <v>1</v>
      </c>
      <c r="J215" s="12">
        <v>52</v>
      </c>
      <c r="K215" t="s">
        <v>21</v>
      </c>
      <c r="L215" s="12" t="str">
        <f t="shared" si="6"/>
        <v>8-weeks</v>
      </c>
      <c r="M215" t="str">
        <f t="shared" si="7"/>
        <v>At Risk</v>
      </c>
    </row>
    <row r="216" spans="1:13" x14ac:dyDescent="0.35">
      <c r="A216">
        <v>315</v>
      </c>
      <c r="B216" t="s">
        <v>11</v>
      </c>
      <c r="C216">
        <v>37</v>
      </c>
      <c r="D216" t="s">
        <v>24</v>
      </c>
      <c r="E216" t="s">
        <v>20</v>
      </c>
      <c r="F216" s="2">
        <v>420.8</v>
      </c>
      <c r="G216">
        <v>7</v>
      </c>
      <c r="H216">
        <v>3.4</v>
      </c>
      <c r="I216" t="b">
        <v>0</v>
      </c>
      <c r="J216" s="12">
        <v>24</v>
      </c>
      <c r="K216" t="s">
        <v>18</v>
      </c>
      <c r="L216" s="12" t="str">
        <f t="shared" si="6"/>
        <v>4-weeks</v>
      </c>
      <c r="M216" t="str">
        <f t="shared" si="7"/>
        <v>No Risk</v>
      </c>
    </row>
    <row r="217" spans="1:13" x14ac:dyDescent="0.35">
      <c r="A217">
        <v>316</v>
      </c>
      <c r="B217" t="s">
        <v>11</v>
      </c>
      <c r="C217">
        <v>31</v>
      </c>
      <c r="D217" t="s">
        <v>12</v>
      </c>
      <c r="E217" t="s">
        <v>13</v>
      </c>
      <c r="F217" s="2">
        <v>1130.5999999999999</v>
      </c>
      <c r="G217">
        <v>15</v>
      </c>
      <c r="H217">
        <v>4.5</v>
      </c>
      <c r="I217" t="b">
        <v>1</v>
      </c>
      <c r="J217" s="12">
        <v>26</v>
      </c>
      <c r="K217" t="s">
        <v>14</v>
      </c>
      <c r="L217" s="12" t="str">
        <f t="shared" si="6"/>
        <v>4-weeks</v>
      </c>
      <c r="M217" t="str">
        <f t="shared" si="7"/>
        <v>No Risk</v>
      </c>
    </row>
    <row r="218" spans="1:13" x14ac:dyDescent="0.35">
      <c r="A218">
        <v>317</v>
      </c>
      <c r="B218" t="s">
        <v>15</v>
      </c>
      <c r="C218">
        <v>35</v>
      </c>
      <c r="D218" t="s">
        <v>16</v>
      </c>
      <c r="E218" t="s">
        <v>17</v>
      </c>
      <c r="F218" s="2">
        <v>820.9</v>
      </c>
      <c r="G218">
        <v>12</v>
      </c>
      <c r="H218">
        <v>4.3</v>
      </c>
      <c r="I218" t="b">
        <v>0</v>
      </c>
      <c r="J218" s="12">
        <v>13</v>
      </c>
      <c r="K218" t="s">
        <v>18</v>
      </c>
      <c r="L218" s="12" t="str">
        <f t="shared" si="6"/>
        <v>2-weeks</v>
      </c>
      <c r="M218" t="str">
        <f t="shared" si="7"/>
        <v>No Risk</v>
      </c>
    </row>
    <row r="219" spans="1:13" x14ac:dyDescent="0.35">
      <c r="A219">
        <v>318</v>
      </c>
      <c r="B219" t="s">
        <v>11</v>
      </c>
      <c r="C219">
        <v>41</v>
      </c>
      <c r="D219" t="s">
        <v>19</v>
      </c>
      <c r="E219" t="s">
        <v>20</v>
      </c>
      <c r="F219" s="2">
        <v>480.25</v>
      </c>
      <c r="G219">
        <v>9</v>
      </c>
      <c r="H219">
        <v>3.6</v>
      </c>
      <c r="I219" t="b">
        <v>1</v>
      </c>
      <c r="J219" s="12">
        <v>39</v>
      </c>
      <c r="K219" t="s">
        <v>21</v>
      </c>
      <c r="L219" s="12" t="str">
        <f t="shared" si="6"/>
        <v>6-weeks</v>
      </c>
      <c r="M219" t="str">
        <f t="shared" si="7"/>
        <v>At Risk</v>
      </c>
    </row>
    <row r="220" spans="1:13" x14ac:dyDescent="0.35">
      <c r="A220">
        <v>319</v>
      </c>
      <c r="B220" t="s">
        <v>15</v>
      </c>
      <c r="C220">
        <v>28</v>
      </c>
      <c r="D220" t="s">
        <v>22</v>
      </c>
      <c r="E220" t="s">
        <v>13</v>
      </c>
      <c r="F220" s="2">
        <v>1490.1</v>
      </c>
      <c r="G220">
        <v>21</v>
      </c>
      <c r="H220">
        <v>4.9000000000000004</v>
      </c>
      <c r="I220" t="b">
        <v>0</v>
      </c>
      <c r="J220" s="12">
        <v>9</v>
      </c>
      <c r="K220" t="s">
        <v>14</v>
      </c>
      <c r="L220" s="12" t="str">
        <f t="shared" si="6"/>
        <v>2-weeks</v>
      </c>
      <c r="M220" t="str">
        <f t="shared" si="7"/>
        <v>No Risk</v>
      </c>
    </row>
    <row r="221" spans="1:13" x14ac:dyDescent="0.35">
      <c r="A221">
        <v>320</v>
      </c>
      <c r="B221" t="s">
        <v>15</v>
      </c>
      <c r="C221">
        <v>32</v>
      </c>
      <c r="D221" t="s">
        <v>23</v>
      </c>
      <c r="E221" t="s">
        <v>17</v>
      </c>
      <c r="F221" s="2">
        <v>680.3</v>
      </c>
      <c r="G221">
        <v>10</v>
      </c>
      <c r="H221">
        <v>3.8</v>
      </c>
      <c r="I221" t="b">
        <v>1</v>
      </c>
      <c r="J221" s="12">
        <v>32</v>
      </c>
      <c r="K221" t="s">
        <v>21</v>
      </c>
      <c r="L221" s="12" t="str">
        <f t="shared" si="6"/>
        <v>5-weeks</v>
      </c>
      <c r="M221" t="str">
        <f t="shared" si="7"/>
        <v>At Risk</v>
      </c>
    </row>
    <row r="222" spans="1:13" x14ac:dyDescent="0.35">
      <c r="A222">
        <v>321</v>
      </c>
      <c r="B222" t="s">
        <v>11</v>
      </c>
      <c r="C222">
        <v>36</v>
      </c>
      <c r="D222" t="s">
        <v>24</v>
      </c>
      <c r="E222" t="s">
        <v>20</v>
      </c>
      <c r="F222" s="2">
        <v>470.5</v>
      </c>
      <c r="G222">
        <v>8</v>
      </c>
      <c r="H222">
        <v>3</v>
      </c>
      <c r="I222" t="b">
        <v>0</v>
      </c>
      <c r="J222" s="12">
        <v>18</v>
      </c>
      <c r="K222" t="s">
        <v>18</v>
      </c>
      <c r="L222" s="12" t="str">
        <f t="shared" si="6"/>
        <v>3-weeks</v>
      </c>
      <c r="M222" t="str">
        <f t="shared" si="7"/>
        <v>No Risk</v>
      </c>
    </row>
    <row r="223" spans="1:13" x14ac:dyDescent="0.35">
      <c r="A223">
        <v>322</v>
      </c>
      <c r="B223" t="s">
        <v>11</v>
      </c>
      <c r="C223">
        <v>30</v>
      </c>
      <c r="D223" t="s">
        <v>12</v>
      </c>
      <c r="E223" t="s">
        <v>13</v>
      </c>
      <c r="F223" s="2">
        <v>1180.8</v>
      </c>
      <c r="G223">
        <v>16</v>
      </c>
      <c r="H223">
        <v>4.7</v>
      </c>
      <c r="I223" t="b">
        <v>1</v>
      </c>
      <c r="J223" s="12">
        <v>19</v>
      </c>
      <c r="K223" t="s">
        <v>14</v>
      </c>
      <c r="L223" s="12" t="str">
        <f t="shared" si="6"/>
        <v>3-weeks</v>
      </c>
      <c r="M223" t="str">
        <f t="shared" si="7"/>
        <v>No Risk</v>
      </c>
    </row>
    <row r="224" spans="1:13" x14ac:dyDescent="0.35">
      <c r="A224">
        <v>323</v>
      </c>
      <c r="B224" t="s">
        <v>15</v>
      </c>
      <c r="C224">
        <v>34</v>
      </c>
      <c r="D224" t="s">
        <v>16</v>
      </c>
      <c r="E224" t="s">
        <v>17</v>
      </c>
      <c r="F224" s="2">
        <v>790.2</v>
      </c>
      <c r="G224">
        <v>11</v>
      </c>
      <c r="H224">
        <v>4</v>
      </c>
      <c r="I224" t="b">
        <v>0</v>
      </c>
      <c r="J224" s="12">
        <v>15</v>
      </c>
      <c r="K224" t="s">
        <v>18</v>
      </c>
      <c r="L224" s="12" t="str">
        <f t="shared" si="6"/>
        <v>3-weeks</v>
      </c>
      <c r="M224" t="str">
        <f t="shared" si="7"/>
        <v>No Risk</v>
      </c>
    </row>
    <row r="225" spans="1:13" x14ac:dyDescent="0.35">
      <c r="A225">
        <v>324</v>
      </c>
      <c r="B225" t="s">
        <v>11</v>
      </c>
      <c r="C225">
        <v>43</v>
      </c>
      <c r="D225" t="s">
        <v>19</v>
      </c>
      <c r="E225" t="s">
        <v>20</v>
      </c>
      <c r="F225" s="2">
        <v>505.75</v>
      </c>
      <c r="G225">
        <v>10</v>
      </c>
      <c r="H225">
        <v>3.3</v>
      </c>
      <c r="I225" t="b">
        <v>1</v>
      </c>
      <c r="J225" s="12">
        <v>39</v>
      </c>
      <c r="K225" t="s">
        <v>21</v>
      </c>
      <c r="L225" s="12" t="str">
        <f t="shared" si="6"/>
        <v>6-weeks</v>
      </c>
      <c r="M225" t="str">
        <f t="shared" si="7"/>
        <v>At Risk</v>
      </c>
    </row>
    <row r="226" spans="1:13" x14ac:dyDescent="0.35">
      <c r="A226">
        <v>325</v>
      </c>
      <c r="B226" t="s">
        <v>15</v>
      </c>
      <c r="C226">
        <v>30</v>
      </c>
      <c r="D226" t="s">
        <v>22</v>
      </c>
      <c r="E226" t="s">
        <v>13</v>
      </c>
      <c r="F226" s="2">
        <v>1470.5</v>
      </c>
      <c r="G226">
        <v>20</v>
      </c>
      <c r="H226">
        <v>4.8</v>
      </c>
      <c r="I226" t="b">
        <v>0</v>
      </c>
      <c r="J226" s="12">
        <v>13</v>
      </c>
      <c r="K226" t="s">
        <v>14</v>
      </c>
      <c r="L226" s="12" t="str">
        <f t="shared" si="6"/>
        <v>2-weeks</v>
      </c>
      <c r="M226" t="str">
        <f t="shared" si="7"/>
        <v>No Risk</v>
      </c>
    </row>
    <row r="227" spans="1:13" x14ac:dyDescent="0.35">
      <c r="A227">
        <v>326</v>
      </c>
      <c r="B227" t="s">
        <v>15</v>
      </c>
      <c r="C227">
        <v>27</v>
      </c>
      <c r="D227" t="s">
        <v>23</v>
      </c>
      <c r="E227" t="s">
        <v>17</v>
      </c>
      <c r="F227" s="2">
        <v>710.4</v>
      </c>
      <c r="G227">
        <v>13</v>
      </c>
      <c r="H227">
        <v>4.0999999999999996</v>
      </c>
      <c r="I227" t="b">
        <v>1</v>
      </c>
      <c r="J227" s="12">
        <v>54</v>
      </c>
      <c r="K227" t="s">
        <v>21</v>
      </c>
      <c r="L227" s="12" t="str">
        <f t="shared" si="6"/>
        <v>8-weeks</v>
      </c>
      <c r="M227" t="str">
        <f t="shared" si="7"/>
        <v>At Risk</v>
      </c>
    </row>
    <row r="228" spans="1:13" x14ac:dyDescent="0.35">
      <c r="A228">
        <v>327</v>
      </c>
      <c r="B228" t="s">
        <v>11</v>
      </c>
      <c r="C228">
        <v>37</v>
      </c>
      <c r="D228" t="s">
        <v>24</v>
      </c>
      <c r="E228" t="s">
        <v>20</v>
      </c>
      <c r="F228" s="2">
        <v>430.8</v>
      </c>
      <c r="G228">
        <v>7</v>
      </c>
      <c r="H228">
        <v>3.4</v>
      </c>
      <c r="I228" t="b">
        <v>0</v>
      </c>
      <c r="J228" s="12">
        <v>23</v>
      </c>
      <c r="K228" t="s">
        <v>18</v>
      </c>
      <c r="L228" s="12" t="str">
        <f t="shared" si="6"/>
        <v>4-weeks</v>
      </c>
      <c r="M228" t="str">
        <f t="shared" si="7"/>
        <v>No Risk</v>
      </c>
    </row>
    <row r="229" spans="1:13" x14ac:dyDescent="0.35">
      <c r="A229">
        <v>328</v>
      </c>
      <c r="B229" t="s">
        <v>11</v>
      </c>
      <c r="C229">
        <v>31</v>
      </c>
      <c r="D229" t="s">
        <v>12</v>
      </c>
      <c r="E229" t="s">
        <v>13</v>
      </c>
      <c r="F229" s="2">
        <v>1140.5999999999999</v>
      </c>
      <c r="G229">
        <v>15</v>
      </c>
      <c r="H229">
        <v>4.5</v>
      </c>
      <c r="I229" t="b">
        <v>1</v>
      </c>
      <c r="J229" s="12">
        <v>27</v>
      </c>
      <c r="K229" t="s">
        <v>14</v>
      </c>
      <c r="L229" s="12" t="str">
        <f t="shared" si="6"/>
        <v>4-weeks</v>
      </c>
      <c r="M229" t="str">
        <f t="shared" si="7"/>
        <v>No Risk</v>
      </c>
    </row>
    <row r="230" spans="1:13" x14ac:dyDescent="0.35">
      <c r="A230">
        <v>329</v>
      </c>
      <c r="B230" t="s">
        <v>15</v>
      </c>
      <c r="C230">
        <v>35</v>
      </c>
      <c r="D230" t="s">
        <v>16</v>
      </c>
      <c r="E230" t="s">
        <v>17</v>
      </c>
      <c r="F230" s="2">
        <v>820.9</v>
      </c>
      <c r="G230">
        <v>12</v>
      </c>
      <c r="H230">
        <v>4.3</v>
      </c>
      <c r="I230" t="b">
        <v>0</v>
      </c>
      <c r="J230" s="12">
        <v>13</v>
      </c>
      <c r="K230" t="s">
        <v>18</v>
      </c>
      <c r="L230" s="12" t="str">
        <f t="shared" si="6"/>
        <v>2-weeks</v>
      </c>
      <c r="M230" t="str">
        <f t="shared" si="7"/>
        <v>No Risk</v>
      </c>
    </row>
    <row r="231" spans="1:13" x14ac:dyDescent="0.35">
      <c r="A231">
        <v>330</v>
      </c>
      <c r="B231" t="s">
        <v>11</v>
      </c>
      <c r="C231">
        <v>41</v>
      </c>
      <c r="D231" t="s">
        <v>19</v>
      </c>
      <c r="E231" t="s">
        <v>20</v>
      </c>
      <c r="F231" s="2">
        <v>485.25</v>
      </c>
      <c r="G231">
        <v>9</v>
      </c>
      <c r="H231">
        <v>3.6</v>
      </c>
      <c r="I231" t="b">
        <v>1</v>
      </c>
      <c r="J231" s="12">
        <v>39</v>
      </c>
      <c r="K231" t="s">
        <v>21</v>
      </c>
      <c r="L231" s="12" t="str">
        <f t="shared" si="6"/>
        <v>6-weeks</v>
      </c>
      <c r="M231" t="str">
        <f t="shared" si="7"/>
        <v>At Risk</v>
      </c>
    </row>
    <row r="232" spans="1:13" x14ac:dyDescent="0.35">
      <c r="A232">
        <v>331</v>
      </c>
      <c r="B232" t="s">
        <v>15</v>
      </c>
      <c r="C232">
        <v>28</v>
      </c>
      <c r="D232" t="s">
        <v>22</v>
      </c>
      <c r="E232" t="s">
        <v>13</v>
      </c>
      <c r="F232" s="2">
        <v>1500.1</v>
      </c>
      <c r="G232">
        <v>21</v>
      </c>
      <c r="H232">
        <v>4.9000000000000004</v>
      </c>
      <c r="I232" t="b">
        <v>0</v>
      </c>
      <c r="J232" s="12">
        <v>10</v>
      </c>
      <c r="K232" t="s">
        <v>14</v>
      </c>
      <c r="L232" s="12" t="str">
        <f t="shared" si="6"/>
        <v>2-weeks</v>
      </c>
      <c r="M232" t="str">
        <f t="shared" si="7"/>
        <v>No Risk</v>
      </c>
    </row>
    <row r="233" spans="1:13" x14ac:dyDescent="0.35">
      <c r="A233">
        <v>332</v>
      </c>
      <c r="B233" t="s">
        <v>15</v>
      </c>
      <c r="C233">
        <v>32</v>
      </c>
      <c r="D233" t="s">
        <v>23</v>
      </c>
      <c r="E233" t="s">
        <v>17</v>
      </c>
      <c r="F233" s="2">
        <v>670.3</v>
      </c>
      <c r="G233">
        <v>10</v>
      </c>
      <c r="H233">
        <v>3.8</v>
      </c>
      <c r="I233" t="b">
        <v>1</v>
      </c>
      <c r="J233" s="12">
        <v>33</v>
      </c>
      <c r="K233" t="s">
        <v>21</v>
      </c>
      <c r="L233" s="12" t="str">
        <f t="shared" si="6"/>
        <v>5-weeks</v>
      </c>
      <c r="M233" t="str">
        <f t="shared" si="7"/>
        <v>At Risk</v>
      </c>
    </row>
    <row r="234" spans="1:13" x14ac:dyDescent="0.35">
      <c r="A234">
        <v>333</v>
      </c>
      <c r="B234" t="s">
        <v>11</v>
      </c>
      <c r="C234">
        <v>36</v>
      </c>
      <c r="D234" t="s">
        <v>24</v>
      </c>
      <c r="E234" t="s">
        <v>20</v>
      </c>
      <c r="F234" s="2">
        <v>460.5</v>
      </c>
      <c r="G234">
        <v>8</v>
      </c>
      <c r="H234">
        <v>3.1</v>
      </c>
      <c r="I234" t="b">
        <v>0</v>
      </c>
      <c r="J234" s="12">
        <v>19</v>
      </c>
      <c r="K234" t="s">
        <v>18</v>
      </c>
      <c r="L234" s="12" t="str">
        <f t="shared" si="6"/>
        <v>3-weeks</v>
      </c>
      <c r="M234" t="str">
        <f t="shared" si="7"/>
        <v>No Risk</v>
      </c>
    </row>
    <row r="235" spans="1:13" x14ac:dyDescent="0.35">
      <c r="A235">
        <v>334</v>
      </c>
      <c r="B235" t="s">
        <v>11</v>
      </c>
      <c r="C235">
        <v>30</v>
      </c>
      <c r="D235" t="s">
        <v>12</v>
      </c>
      <c r="E235" t="s">
        <v>13</v>
      </c>
      <c r="F235" s="2">
        <v>1190.8</v>
      </c>
      <c r="G235">
        <v>16</v>
      </c>
      <c r="H235">
        <v>4.5</v>
      </c>
      <c r="I235" t="b">
        <v>1</v>
      </c>
      <c r="J235" s="12">
        <v>20</v>
      </c>
      <c r="K235" t="s">
        <v>14</v>
      </c>
      <c r="L235" s="12" t="str">
        <f t="shared" si="6"/>
        <v>3-weeks</v>
      </c>
      <c r="M235" t="str">
        <f t="shared" si="7"/>
        <v>No Risk</v>
      </c>
    </row>
    <row r="236" spans="1:13" x14ac:dyDescent="0.35">
      <c r="A236">
        <v>335</v>
      </c>
      <c r="B236" t="s">
        <v>15</v>
      </c>
      <c r="C236">
        <v>33</v>
      </c>
      <c r="D236" t="s">
        <v>16</v>
      </c>
      <c r="E236" t="s">
        <v>17</v>
      </c>
      <c r="F236" s="2">
        <v>830.75</v>
      </c>
      <c r="G236">
        <v>13</v>
      </c>
      <c r="H236">
        <v>4.2</v>
      </c>
      <c r="I236" t="b">
        <v>0</v>
      </c>
      <c r="J236" s="12">
        <v>14</v>
      </c>
      <c r="K236" t="s">
        <v>14</v>
      </c>
      <c r="L236" s="12" t="str">
        <f t="shared" si="6"/>
        <v>2-weeks</v>
      </c>
      <c r="M236" t="str">
        <f t="shared" si="7"/>
        <v>No Risk</v>
      </c>
    </row>
    <row r="237" spans="1:13" x14ac:dyDescent="0.35">
      <c r="A237">
        <v>336</v>
      </c>
      <c r="B237" t="s">
        <v>11</v>
      </c>
      <c r="C237">
        <v>42</v>
      </c>
      <c r="D237" t="s">
        <v>19</v>
      </c>
      <c r="E237" t="s">
        <v>20</v>
      </c>
      <c r="F237" s="2">
        <v>520.4</v>
      </c>
      <c r="G237">
        <v>9</v>
      </c>
      <c r="H237">
        <v>3.5</v>
      </c>
      <c r="I237" t="b">
        <v>1</v>
      </c>
      <c r="J237" s="12">
        <v>37</v>
      </c>
      <c r="K237" t="s">
        <v>21</v>
      </c>
      <c r="L237" s="12" t="str">
        <f t="shared" si="6"/>
        <v>6-weeks</v>
      </c>
      <c r="M237" t="str">
        <f t="shared" si="7"/>
        <v>At Risk</v>
      </c>
    </row>
    <row r="238" spans="1:13" x14ac:dyDescent="0.35">
      <c r="A238">
        <v>337</v>
      </c>
      <c r="B238" t="s">
        <v>15</v>
      </c>
      <c r="C238">
        <v>29</v>
      </c>
      <c r="D238" t="s">
        <v>22</v>
      </c>
      <c r="E238" t="s">
        <v>13</v>
      </c>
      <c r="F238" s="2">
        <v>1370.2</v>
      </c>
      <c r="G238">
        <v>18</v>
      </c>
      <c r="H238">
        <v>4.7</v>
      </c>
      <c r="I238" t="b">
        <v>0</v>
      </c>
      <c r="J238" s="12">
        <v>10</v>
      </c>
      <c r="K238" t="s">
        <v>14</v>
      </c>
      <c r="L238" s="12" t="str">
        <f t="shared" si="6"/>
        <v>2-weeks</v>
      </c>
      <c r="M238" t="str">
        <f t="shared" si="7"/>
        <v>No Risk</v>
      </c>
    </row>
    <row r="239" spans="1:13" x14ac:dyDescent="0.35">
      <c r="A239">
        <v>338</v>
      </c>
      <c r="B239" t="s">
        <v>15</v>
      </c>
      <c r="C239">
        <v>26</v>
      </c>
      <c r="D239" t="s">
        <v>23</v>
      </c>
      <c r="E239" t="s">
        <v>17</v>
      </c>
      <c r="F239" s="2">
        <v>690.6</v>
      </c>
      <c r="G239">
        <v>12</v>
      </c>
      <c r="H239">
        <v>3.9</v>
      </c>
      <c r="I239" t="b">
        <v>1</v>
      </c>
      <c r="J239" s="12">
        <v>47</v>
      </c>
      <c r="K239" t="s">
        <v>21</v>
      </c>
      <c r="L239" s="12" t="str">
        <f t="shared" si="6"/>
        <v>7-weeks</v>
      </c>
      <c r="M239" t="str">
        <f t="shared" si="7"/>
        <v>At Risk</v>
      </c>
    </row>
    <row r="240" spans="1:13" x14ac:dyDescent="0.35">
      <c r="A240">
        <v>339</v>
      </c>
      <c r="B240" t="s">
        <v>11</v>
      </c>
      <c r="C240">
        <v>38</v>
      </c>
      <c r="D240" t="s">
        <v>24</v>
      </c>
      <c r="E240" t="s">
        <v>20</v>
      </c>
      <c r="F240" s="2">
        <v>440.9</v>
      </c>
      <c r="G240">
        <v>8</v>
      </c>
      <c r="H240">
        <v>3.2</v>
      </c>
      <c r="I240" t="b">
        <v>0</v>
      </c>
      <c r="J240" s="12">
        <v>24</v>
      </c>
      <c r="K240" t="s">
        <v>18</v>
      </c>
      <c r="L240" s="12" t="str">
        <f t="shared" si="6"/>
        <v>4-weeks</v>
      </c>
      <c r="M240" t="str">
        <f t="shared" si="7"/>
        <v>No Risk</v>
      </c>
    </row>
    <row r="241" spans="1:13" x14ac:dyDescent="0.35">
      <c r="A241">
        <v>340</v>
      </c>
      <c r="B241" t="s">
        <v>11</v>
      </c>
      <c r="C241">
        <v>32</v>
      </c>
      <c r="D241" t="s">
        <v>12</v>
      </c>
      <c r="E241" t="s">
        <v>13</v>
      </c>
      <c r="F241" s="2">
        <v>1160.3</v>
      </c>
      <c r="G241">
        <v>14</v>
      </c>
      <c r="H241">
        <v>4.4000000000000004</v>
      </c>
      <c r="I241" t="b">
        <v>1</v>
      </c>
      <c r="J241" s="12">
        <v>22</v>
      </c>
      <c r="K241" t="s">
        <v>14</v>
      </c>
      <c r="L241" s="12" t="str">
        <f t="shared" si="6"/>
        <v>4-weeks</v>
      </c>
      <c r="M241" t="str">
        <f t="shared" si="7"/>
        <v>No Risk</v>
      </c>
    </row>
    <row r="242" spans="1:13" x14ac:dyDescent="0.35">
      <c r="A242">
        <v>341</v>
      </c>
      <c r="B242" t="s">
        <v>15</v>
      </c>
      <c r="C242">
        <v>34</v>
      </c>
      <c r="D242" t="s">
        <v>16</v>
      </c>
      <c r="E242" t="s">
        <v>17</v>
      </c>
      <c r="F242" s="2">
        <v>800.2</v>
      </c>
      <c r="G242">
        <v>11</v>
      </c>
      <c r="H242">
        <v>4.0999999999999996</v>
      </c>
      <c r="I242" t="b">
        <v>0</v>
      </c>
      <c r="J242" s="12">
        <v>17</v>
      </c>
      <c r="K242" t="s">
        <v>18</v>
      </c>
      <c r="L242" s="12" t="str">
        <f t="shared" si="6"/>
        <v>3-weeks</v>
      </c>
      <c r="M242" t="str">
        <f t="shared" si="7"/>
        <v>No Risk</v>
      </c>
    </row>
    <row r="243" spans="1:13" x14ac:dyDescent="0.35">
      <c r="A243">
        <v>342</v>
      </c>
      <c r="B243" t="s">
        <v>11</v>
      </c>
      <c r="C243">
        <v>43</v>
      </c>
      <c r="D243" t="s">
        <v>19</v>
      </c>
      <c r="E243" t="s">
        <v>20</v>
      </c>
      <c r="F243" s="2">
        <v>525.75</v>
      </c>
      <c r="G243">
        <v>9</v>
      </c>
      <c r="H243">
        <v>3.3</v>
      </c>
      <c r="I243" t="b">
        <v>1</v>
      </c>
      <c r="J243" s="12">
        <v>40</v>
      </c>
      <c r="K243" t="s">
        <v>21</v>
      </c>
      <c r="L243" s="12" t="str">
        <f t="shared" si="6"/>
        <v>6-weeks</v>
      </c>
      <c r="M243" t="str">
        <f t="shared" si="7"/>
        <v>At Risk</v>
      </c>
    </row>
    <row r="244" spans="1:13" x14ac:dyDescent="0.35">
      <c r="A244">
        <v>343</v>
      </c>
      <c r="B244" t="s">
        <v>15</v>
      </c>
      <c r="C244">
        <v>30</v>
      </c>
      <c r="D244" t="s">
        <v>22</v>
      </c>
      <c r="E244" t="s">
        <v>13</v>
      </c>
      <c r="F244" s="2">
        <v>1460.5</v>
      </c>
      <c r="G244">
        <v>20</v>
      </c>
      <c r="H244">
        <v>4.8</v>
      </c>
      <c r="I244" t="b">
        <v>0</v>
      </c>
      <c r="J244" s="12">
        <v>11</v>
      </c>
      <c r="K244" t="s">
        <v>14</v>
      </c>
      <c r="L244" s="12" t="str">
        <f t="shared" si="6"/>
        <v>2-weeks</v>
      </c>
      <c r="M244" t="str">
        <f t="shared" si="7"/>
        <v>No Risk</v>
      </c>
    </row>
    <row r="245" spans="1:13" x14ac:dyDescent="0.35">
      <c r="A245">
        <v>344</v>
      </c>
      <c r="B245" t="s">
        <v>15</v>
      </c>
      <c r="C245">
        <v>27</v>
      </c>
      <c r="D245" t="s">
        <v>23</v>
      </c>
      <c r="E245" t="s">
        <v>17</v>
      </c>
      <c r="F245" s="2">
        <v>720.4</v>
      </c>
      <c r="G245">
        <v>13</v>
      </c>
      <c r="H245">
        <v>4</v>
      </c>
      <c r="I245" t="b">
        <v>1</v>
      </c>
      <c r="J245" s="12">
        <v>55</v>
      </c>
      <c r="K245" t="s">
        <v>21</v>
      </c>
      <c r="L245" s="12" t="str">
        <f t="shared" si="6"/>
        <v>8-weeks</v>
      </c>
      <c r="M245" t="str">
        <f t="shared" si="7"/>
        <v>At Risk</v>
      </c>
    </row>
    <row r="246" spans="1:13" x14ac:dyDescent="0.35">
      <c r="A246">
        <v>345</v>
      </c>
      <c r="B246" t="s">
        <v>11</v>
      </c>
      <c r="C246">
        <v>37</v>
      </c>
      <c r="D246" t="s">
        <v>24</v>
      </c>
      <c r="E246" t="s">
        <v>20</v>
      </c>
      <c r="F246" s="2">
        <v>440.8</v>
      </c>
      <c r="G246">
        <v>7</v>
      </c>
      <c r="H246">
        <v>3.2</v>
      </c>
      <c r="I246" t="b">
        <v>0</v>
      </c>
      <c r="J246" s="12">
        <v>25</v>
      </c>
      <c r="K246" t="s">
        <v>18</v>
      </c>
      <c r="L246" s="12" t="str">
        <f t="shared" si="6"/>
        <v>4-weeks</v>
      </c>
      <c r="M246" t="str">
        <f t="shared" si="7"/>
        <v>No Risk</v>
      </c>
    </row>
    <row r="247" spans="1:13" x14ac:dyDescent="0.35">
      <c r="A247">
        <v>346</v>
      </c>
      <c r="B247" t="s">
        <v>11</v>
      </c>
      <c r="C247">
        <v>31</v>
      </c>
      <c r="D247" t="s">
        <v>12</v>
      </c>
      <c r="E247" t="s">
        <v>13</v>
      </c>
      <c r="F247" s="2">
        <v>1150.5999999999999</v>
      </c>
      <c r="G247">
        <v>15</v>
      </c>
      <c r="H247">
        <v>4.5</v>
      </c>
      <c r="I247" t="b">
        <v>1</v>
      </c>
      <c r="J247" s="12">
        <v>28</v>
      </c>
      <c r="K247" t="s">
        <v>14</v>
      </c>
      <c r="L247" s="12" t="str">
        <f t="shared" si="6"/>
        <v>4-weeks</v>
      </c>
      <c r="M247" t="str">
        <f t="shared" si="7"/>
        <v>No Risk</v>
      </c>
    </row>
    <row r="248" spans="1:13" x14ac:dyDescent="0.35">
      <c r="A248">
        <v>347</v>
      </c>
      <c r="B248" t="s">
        <v>15</v>
      </c>
      <c r="C248">
        <v>35</v>
      </c>
      <c r="D248" t="s">
        <v>16</v>
      </c>
      <c r="E248" t="s">
        <v>17</v>
      </c>
      <c r="F248" s="2">
        <v>830.9</v>
      </c>
      <c r="G248">
        <v>12</v>
      </c>
      <c r="H248">
        <v>4.3</v>
      </c>
      <c r="I248" t="b">
        <v>0</v>
      </c>
      <c r="J248" s="12">
        <v>14</v>
      </c>
      <c r="K248" t="s">
        <v>18</v>
      </c>
      <c r="L248" s="12" t="str">
        <f t="shared" si="6"/>
        <v>2-weeks</v>
      </c>
      <c r="M248" t="str">
        <f t="shared" si="7"/>
        <v>No Risk</v>
      </c>
    </row>
    <row r="249" spans="1:13" x14ac:dyDescent="0.35">
      <c r="A249">
        <v>348</v>
      </c>
      <c r="B249" t="s">
        <v>11</v>
      </c>
      <c r="C249">
        <v>41</v>
      </c>
      <c r="D249" t="s">
        <v>19</v>
      </c>
      <c r="E249" t="s">
        <v>20</v>
      </c>
      <c r="F249" s="2">
        <v>490.25</v>
      </c>
      <c r="G249">
        <v>9</v>
      </c>
      <c r="H249">
        <v>3.6</v>
      </c>
      <c r="I249" t="b">
        <v>1</v>
      </c>
      <c r="J249" s="12">
        <v>40</v>
      </c>
      <c r="K249" t="s">
        <v>21</v>
      </c>
      <c r="L249" s="12" t="str">
        <f t="shared" si="6"/>
        <v>6-weeks</v>
      </c>
      <c r="M249" t="str">
        <f t="shared" si="7"/>
        <v>At Risk</v>
      </c>
    </row>
    <row r="250" spans="1:13" x14ac:dyDescent="0.35">
      <c r="A250">
        <v>349</v>
      </c>
      <c r="B250" t="s">
        <v>15</v>
      </c>
      <c r="C250">
        <v>28</v>
      </c>
      <c r="D250" t="s">
        <v>22</v>
      </c>
      <c r="E250" t="s">
        <v>13</v>
      </c>
      <c r="F250" s="2">
        <v>1480.1</v>
      </c>
      <c r="G250">
        <v>21</v>
      </c>
      <c r="H250">
        <v>4.9000000000000004</v>
      </c>
      <c r="I250" t="b">
        <v>0</v>
      </c>
      <c r="J250" s="12">
        <v>10</v>
      </c>
      <c r="K250" t="s">
        <v>14</v>
      </c>
      <c r="L250" s="12" t="str">
        <f t="shared" si="6"/>
        <v>2-weeks</v>
      </c>
      <c r="M250" t="str">
        <f t="shared" si="7"/>
        <v>No Risk</v>
      </c>
    </row>
    <row r="251" spans="1:13" x14ac:dyDescent="0.35">
      <c r="A251">
        <v>350</v>
      </c>
      <c r="B251" t="s">
        <v>15</v>
      </c>
      <c r="C251">
        <v>32</v>
      </c>
      <c r="D251" t="s">
        <v>23</v>
      </c>
      <c r="E251" t="s">
        <v>17</v>
      </c>
      <c r="F251" s="2">
        <v>690.3</v>
      </c>
      <c r="G251">
        <v>10</v>
      </c>
      <c r="H251">
        <v>3.8</v>
      </c>
      <c r="I251" t="b">
        <v>1</v>
      </c>
      <c r="J251" s="12">
        <v>34</v>
      </c>
      <c r="K251" t="s">
        <v>21</v>
      </c>
      <c r="L251" s="12" t="str">
        <f t="shared" si="6"/>
        <v>5-weeks</v>
      </c>
      <c r="M251" t="str">
        <f t="shared" si="7"/>
        <v>At Risk</v>
      </c>
    </row>
    <row r="252" spans="1:13" x14ac:dyDescent="0.35">
      <c r="A252">
        <v>351</v>
      </c>
      <c r="B252" t="s">
        <v>11</v>
      </c>
      <c r="C252">
        <v>36</v>
      </c>
      <c r="D252" t="s">
        <v>24</v>
      </c>
      <c r="E252" t="s">
        <v>20</v>
      </c>
      <c r="F252" s="2">
        <v>480.5</v>
      </c>
      <c r="G252">
        <v>8</v>
      </c>
      <c r="H252">
        <v>3.1</v>
      </c>
      <c r="I252" t="b">
        <v>0</v>
      </c>
      <c r="J252" s="12">
        <v>20</v>
      </c>
      <c r="K252" t="s">
        <v>18</v>
      </c>
      <c r="L252" s="12" t="str">
        <f t="shared" si="6"/>
        <v>3-weeks</v>
      </c>
      <c r="M252" t="str">
        <f t="shared" si="7"/>
        <v>No Risk</v>
      </c>
    </row>
    <row r="253" spans="1:13" x14ac:dyDescent="0.35">
      <c r="A253">
        <v>352</v>
      </c>
      <c r="B253" t="s">
        <v>11</v>
      </c>
      <c r="C253">
        <v>30</v>
      </c>
      <c r="D253" t="s">
        <v>12</v>
      </c>
      <c r="E253" t="s">
        <v>13</v>
      </c>
      <c r="F253" s="2">
        <v>1170.8</v>
      </c>
      <c r="G253">
        <v>16</v>
      </c>
      <c r="H253">
        <v>4.7</v>
      </c>
      <c r="I253" t="b">
        <v>1</v>
      </c>
      <c r="J253" s="12">
        <v>21</v>
      </c>
      <c r="K253" t="s">
        <v>14</v>
      </c>
      <c r="L253" s="12" t="str">
        <f t="shared" si="6"/>
        <v>3-weeks</v>
      </c>
      <c r="M253" t="str">
        <f t="shared" si="7"/>
        <v>No Risk</v>
      </c>
    </row>
    <row r="254" spans="1:13" x14ac:dyDescent="0.35">
      <c r="A254">
        <v>353</v>
      </c>
      <c r="B254" t="s">
        <v>15</v>
      </c>
      <c r="C254">
        <v>34</v>
      </c>
      <c r="D254" t="s">
        <v>16</v>
      </c>
      <c r="E254" t="s">
        <v>17</v>
      </c>
      <c r="F254" s="2">
        <v>790.2</v>
      </c>
      <c r="G254">
        <v>11</v>
      </c>
      <c r="H254">
        <v>4</v>
      </c>
      <c r="I254" t="b">
        <v>0</v>
      </c>
      <c r="J254" s="12">
        <v>15</v>
      </c>
      <c r="K254" t="s">
        <v>18</v>
      </c>
      <c r="L254" s="12" t="str">
        <f t="shared" si="6"/>
        <v>3-weeks</v>
      </c>
      <c r="M254" t="str">
        <f t="shared" si="7"/>
        <v>No Risk</v>
      </c>
    </row>
    <row r="255" spans="1:13" x14ac:dyDescent="0.35">
      <c r="A255">
        <v>354</v>
      </c>
      <c r="B255" t="s">
        <v>11</v>
      </c>
      <c r="C255">
        <v>43</v>
      </c>
      <c r="D255" t="s">
        <v>19</v>
      </c>
      <c r="E255" t="s">
        <v>20</v>
      </c>
      <c r="F255" s="2">
        <v>510.75</v>
      </c>
      <c r="G255">
        <v>10</v>
      </c>
      <c r="H255">
        <v>3.3</v>
      </c>
      <c r="I255" t="b">
        <v>1</v>
      </c>
      <c r="J255" s="12">
        <v>41</v>
      </c>
      <c r="K255" t="s">
        <v>21</v>
      </c>
      <c r="L255" s="12" t="str">
        <f t="shared" si="6"/>
        <v>6-weeks</v>
      </c>
      <c r="M255" t="str">
        <f t="shared" si="7"/>
        <v>At Risk</v>
      </c>
    </row>
    <row r="256" spans="1:13" x14ac:dyDescent="0.35">
      <c r="A256">
        <v>355</v>
      </c>
      <c r="B256" t="s">
        <v>15</v>
      </c>
      <c r="C256">
        <v>30</v>
      </c>
      <c r="D256" t="s">
        <v>22</v>
      </c>
      <c r="E256" t="s">
        <v>13</v>
      </c>
      <c r="F256" s="2">
        <v>1440.5</v>
      </c>
      <c r="G256">
        <v>19</v>
      </c>
      <c r="H256">
        <v>4.5999999999999996</v>
      </c>
      <c r="I256" t="b">
        <v>0</v>
      </c>
      <c r="J256" s="12">
        <v>12</v>
      </c>
      <c r="K256" t="s">
        <v>14</v>
      </c>
      <c r="L256" s="12" t="str">
        <f t="shared" si="6"/>
        <v>2-weeks</v>
      </c>
      <c r="M256" t="str">
        <f t="shared" si="7"/>
        <v>No Risk</v>
      </c>
    </row>
    <row r="257" spans="1:13" x14ac:dyDescent="0.35">
      <c r="A257">
        <v>356</v>
      </c>
      <c r="B257" t="s">
        <v>15</v>
      </c>
      <c r="C257">
        <v>27</v>
      </c>
      <c r="D257" t="s">
        <v>23</v>
      </c>
      <c r="E257" t="s">
        <v>17</v>
      </c>
      <c r="F257" s="2">
        <v>700.4</v>
      </c>
      <c r="G257">
        <v>13</v>
      </c>
      <c r="H257">
        <v>4.0999999999999996</v>
      </c>
      <c r="I257" t="b">
        <v>1</v>
      </c>
      <c r="J257" s="12">
        <v>56</v>
      </c>
      <c r="K257" t="s">
        <v>21</v>
      </c>
      <c r="L257" s="12" t="str">
        <f t="shared" si="6"/>
        <v>8-weeks</v>
      </c>
      <c r="M257" t="str">
        <f t="shared" si="7"/>
        <v>At Risk</v>
      </c>
    </row>
    <row r="258" spans="1:13" x14ac:dyDescent="0.35">
      <c r="A258">
        <v>357</v>
      </c>
      <c r="B258" t="s">
        <v>11</v>
      </c>
      <c r="C258">
        <v>37</v>
      </c>
      <c r="D258" t="s">
        <v>24</v>
      </c>
      <c r="E258" t="s">
        <v>20</v>
      </c>
      <c r="F258" s="2">
        <v>410.8</v>
      </c>
      <c r="G258">
        <v>7</v>
      </c>
      <c r="H258">
        <v>3.4</v>
      </c>
      <c r="I258" t="b">
        <v>0</v>
      </c>
      <c r="J258" s="12">
        <v>26</v>
      </c>
      <c r="K258" t="s">
        <v>18</v>
      </c>
      <c r="L258" s="12" t="str">
        <f t="shared" ref="L258:L321" si="8">_xlfn.IFS(J258&lt;=7,"1-week",J258&lt;=14,"2-weeks", J258&lt;=21,"3-weeks",J258&lt;=28,"4-weeks",J258&lt;=35,"5-weeks",J258&lt;=42,"6-weeks",J258&lt;=49,"7-weeks",J258&lt;=56,"8-weeks",J258&lt;=63,"9-weeks")</f>
        <v>4-weeks</v>
      </c>
      <c r="M258" t="str">
        <f t="shared" ref="M258:M321" si="9">IF(J258&gt;28, "At Risk", "No Risk")</f>
        <v>No Risk</v>
      </c>
    </row>
    <row r="259" spans="1:13" x14ac:dyDescent="0.35">
      <c r="A259">
        <v>358</v>
      </c>
      <c r="B259" t="s">
        <v>11</v>
      </c>
      <c r="C259">
        <v>31</v>
      </c>
      <c r="D259" t="s">
        <v>12</v>
      </c>
      <c r="E259" t="s">
        <v>13</v>
      </c>
      <c r="F259" s="2">
        <v>1160.5999999999999</v>
      </c>
      <c r="G259">
        <v>15</v>
      </c>
      <c r="H259">
        <v>4.5</v>
      </c>
      <c r="I259" t="b">
        <v>1</v>
      </c>
      <c r="J259" s="12">
        <v>29</v>
      </c>
      <c r="K259" t="s">
        <v>14</v>
      </c>
      <c r="L259" s="12" t="str">
        <f t="shared" si="8"/>
        <v>5-weeks</v>
      </c>
      <c r="M259" t="str">
        <f t="shared" si="9"/>
        <v>At Risk</v>
      </c>
    </row>
    <row r="260" spans="1:13" x14ac:dyDescent="0.35">
      <c r="A260">
        <v>359</v>
      </c>
      <c r="B260" t="s">
        <v>15</v>
      </c>
      <c r="C260">
        <v>35</v>
      </c>
      <c r="D260" t="s">
        <v>16</v>
      </c>
      <c r="E260" t="s">
        <v>17</v>
      </c>
      <c r="F260" s="2">
        <v>810.9</v>
      </c>
      <c r="G260">
        <v>12</v>
      </c>
      <c r="H260">
        <v>4.3</v>
      </c>
      <c r="I260" t="b">
        <v>0</v>
      </c>
      <c r="J260" s="12">
        <v>14</v>
      </c>
      <c r="K260" t="s">
        <v>18</v>
      </c>
      <c r="L260" s="12" t="str">
        <f t="shared" si="8"/>
        <v>2-weeks</v>
      </c>
      <c r="M260" t="str">
        <f t="shared" si="9"/>
        <v>No Risk</v>
      </c>
    </row>
    <row r="261" spans="1:13" x14ac:dyDescent="0.35">
      <c r="A261">
        <v>360</v>
      </c>
      <c r="B261" t="s">
        <v>11</v>
      </c>
      <c r="C261">
        <v>41</v>
      </c>
      <c r="D261" t="s">
        <v>19</v>
      </c>
      <c r="E261" t="s">
        <v>20</v>
      </c>
      <c r="F261" s="2">
        <v>495.25</v>
      </c>
      <c r="G261">
        <v>9</v>
      </c>
      <c r="H261">
        <v>3.6</v>
      </c>
      <c r="I261" t="b">
        <v>1</v>
      </c>
      <c r="J261" s="12">
        <v>41</v>
      </c>
      <c r="K261" t="s">
        <v>21</v>
      </c>
      <c r="L261" s="12" t="str">
        <f t="shared" si="8"/>
        <v>6-weeks</v>
      </c>
      <c r="M261" t="str">
        <f t="shared" si="9"/>
        <v>At Risk</v>
      </c>
    </row>
    <row r="262" spans="1:13" x14ac:dyDescent="0.35">
      <c r="A262">
        <v>361</v>
      </c>
      <c r="B262" t="s">
        <v>15</v>
      </c>
      <c r="C262">
        <v>28</v>
      </c>
      <c r="D262" t="s">
        <v>22</v>
      </c>
      <c r="E262" t="s">
        <v>13</v>
      </c>
      <c r="F262" s="2">
        <v>1490.1</v>
      </c>
      <c r="G262">
        <v>21</v>
      </c>
      <c r="H262">
        <v>4.9000000000000004</v>
      </c>
      <c r="I262" t="b">
        <v>0</v>
      </c>
      <c r="J262" s="12">
        <v>10</v>
      </c>
      <c r="K262" t="s">
        <v>14</v>
      </c>
      <c r="L262" s="12" t="str">
        <f t="shared" si="8"/>
        <v>2-weeks</v>
      </c>
      <c r="M262" t="str">
        <f t="shared" si="9"/>
        <v>No Risk</v>
      </c>
    </row>
    <row r="263" spans="1:13" x14ac:dyDescent="0.35">
      <c r="A263">
        <v>362</v>
      </c>
      <c r="B263" t="s">
        <v>15</v>
      </c>
      <c r="C263">
        <v>32</v>
      </c>
      <c r="D263" t="s">
        <v>23</v>
      </c>
      <c r="E263" t="s">
        <v>17</v>
      </c>
      <c r="F263" s="2">
        <v>660.3</v>
      </c>
      <c r="G263">
        <v>10</v>
      </c>
      <c r="H263">
        <v>3.8</v>
      </c>
      <c r="I263" t="b">
        <v>1</v>
      </c>
      <c r="J263" s="12">
        <v>35</v>
      </c>
      <c r="K263" t="s">
        <v>21</v>
      </c>
      <c r="L263" s="12" t="str">
        <f t="shared" si="8"/>
        <v>5-weeks</v>
      </c>
      <c r="M263" t="str">
        <f t="shared" si="9"/>
        <v>At Risk</v>
      </c>
    </row>
    <row r="264" spans="1:13" x14ac:dyDescent="0.35">
      <c r="A264">
        <v>363</v>
      </c>
      <c r="B264" t="s">
        <v>11</v>
      </c>
      <c r="C264">
        <v>36</v>
      </c>
      <c r="D264" t="s">
        <v>24</v>
      </c>
      <c r="E264" t="s">
        <v>20</v>
      </c>
      <c r="F264" s="2">
        <v>430.5</v>
      </c>
      <c r="G264">
        <v>8</v>
      </c>
      <c r="H264">
        <v>3.1</v>
      </c>
      <c r="I264" t="b">
        <v>0</v>
      </c>
      <c r="J264" s="12">
        <v>21</v>
      </c>
      <c r="K264" t="s">
        <v>18</v>
      </c>
      <c r="L264" s="12" t="str">
        <f t="shared" si="8"/>
        <v>3-weeks</v>
      </c>
      <c r="M264" t="str">
        <f t="shared" si="9"/>
        <v>No Risk</v>
      </c>
    </row>
    <row r="265" spans="1:13" x14ac:dyDescent="0.35">
      <c r="A265">
        <v>364</v>
      </c>
      <c r="B265" t="s">
        <v>11</v>
      </c>
      <c r="C265">
        <v>30</v>
      </c>
      <c r="D265" t="s">
        <v>12</v>
      </c>
      <c r="E265" t="s">
        <v>13</v>
      </c>
      <c r="F265" s="2">
        <v>1200.8</v>
      </c>
      <c r="G265">
        <v>16</v>
      </c>
      <c r="H265">
        <v>4.7</v>
      </c>
      <c r="I265" t="b">
        <v>1</v>
      </c>
      <c r="J265" s="12">
        <v>22</v>
      </c>
      <c r="K265" t="s">
        <v>14</v>
      </c>
      <c r="L265" s="12" t="str">
        <f t="shared" si="8"/>
        <v>4-weeks</v>
      </c>
      <c r="M265" t="str">
        <f t="shared" si="9"/>
        <v>No Risk</v>
      </c>
    </row>
    <row r="266" spans="1:13" x14ac:dyDescent="0.35">
      <c r="A266">
        <v>365</v>
      </c>
      <c r="B266" t="s">
        <v>15</v>
      </c>
      <c r="C266">
        <v>34</v>
      </c>
      <c r="D266" t="s">
        <v>16</v>
      </c>
      <c r="E266" t="s">
        <v>17</v>
      </c>
      <c r="F266" s="2">
        <v>780.2</v>
      </c>
      <c r="G266">
        <v>11</v>
      </c>
      <c r="H266">
        <v>4.0999999999999996</v>
      </c>
      <c r="I266" t="b">
        <v>0</v>
      </c>
      <c r="J266" s="12">
        <v>16</v>
      </c>
      <c r="K266" t="s">
        <v>18</v>
      </c>
      <c r="L266" s="12" t="str">
        <f t="shared" si="8"/>
        <v>3-weeks</v>
      </c>
      <c r="M266" t="str">
        <f t="shared" si="9"/>
        <v>No Risk</v>
      </c>
    </row>
    <row r="267" spans="1:13" x14ac:dyDescent="0.35">
      <c r="A267">
        <v>366</v>
      </c>
      <c r="B267" t="s">
        <v>11</v>
      </c>
      <c r="C267">
        <v>43</v>
      </c>
      <c r="D267" t="s">
        <v>19</v>
      </c>
      <c r="E267" t="s">
        <v>20</v>
      </c>
      <c r="F267" s="2">
        <v>505.75</v>
      </c>
      <c r="G267">
        <v>10</v>
      </c>
      <c r="H267">
        <v>3.3</v>
      </c>
      <c r="I267" t="b">
        <v>1</v>
      </c>
      <c r="J267" s="12">
        <v>42</v>
      </c>
      <c r="K267" t="s">
        <v>21</v>
      </c>
      <c r="L267" s="12" t="str">
        <f t="shared" si="8"/>
        <v>6-weeks</v>
      </c>
      <c r="M267" t="str">
        <f t="shared" si="9"/>
        <v>At Risk</v>
      </c>
    </row>
    <row r="268" spans="1:13" x14ac:dyDescent="0.35">
      <c r="A268">
        <v>367</v>
      </c>
      <c r="B268" t="s">
        <v>15</v>
      </c>
      <c r="C268">
        <v>30</v>
      </c>
      <c r="D268" t="s">
        <v>22</v>
      </c>
      <c r="E268" t="s">
        <v>13</v>
      </c>
      <c r="F268" s="2">
        <v>1460.5</v>
      </c>
      <c r="G268">
        <v>20</v>
      </c>
      <c r="H268">
        <v>4.8</v>
      </c>
      <c r="I268" t="b">
        <v>0</v>
      </c>
      <c r="J268" s="12">
        <v>13</v>
      </c>
      <c r="K268" t="s">
        <v>14</v>
      </c>
      <c r="L268" s="12" t="str">
        <f t="shared" si="8"/>
        <v>2-weeks</v>
      </c>
      <c r="M268" t="str">
        <f t="shared" si="9"/>
        <v>No Risk</v>
      </c>
    </row>
    <row r="269" spans="1:13" x14ac:dyDescent="0.35">
      <c r="A269">
        <v>368</v>
      </c>
      <c r="B269" t="s">
        <v>15</v>
      </c>
      <c r="C269">
        <v>27</v>
      </c>
      <c r="D269" t="s">
        <v>23</v>
      </c>
      <c r="E269" t="s">
        <v>17</v>
      </c>
      <c r="F269" s="2">
        <v>710.4</v>
      </c>
      <c r="G269">
        <v>13</v>
      </c>
      <c r="H269">
        <v>4.0999999999999996</v>
      </c>
      <c r="I269" t="b">
        <v>1</v>
      </c>
      <c r="J269" s="12">
        <v>57</v>
      </c>
      <c r="K269" t="s">
        <v>21</v>
      </c>
      <c r="L269" s="12" t="str">
        <f t="shared" si="8"/>
        <v>9-weeks</v>
      </c>
      <c r="M269" t="str">
        <f t="shared" si="9"/>
        <v>At Risk</v>
      </c>
    </row>
    <row r="270" spans="1:13" x14ac:dyDescent="0.35">
      <c r="A270">
        <v>369</v>
      </c>
      <c r="B270" t="s">
        <v>11</v>
      </c>
      <c r="C270">
        <v>37</v>
      </c>
      <c r="D270" t="s">
        <v>24</v>
      </c>
      <c r="E270" t="s">
        <v>20</v>
      </c>
      <c r="F270" s="2">
        <v>450.8</v>
      </c>
      <c r="G270">
        <v>7</v>
      </c>
      <c r="H270">
        <v>3.4</v>
      </c>
      <c r="I270" t="b">
        <v>0</v>
      </c>
      <c r="J270" s="12">
        <v>24</v>
      </c>
      <c r="K270" t="s">
        <v>18</v>
      </c>
      <c r="L270" s="12" t="str">
        <f t="shared" si="8"/>
        <v>4-weeks</v>
      </c>
      <c r="M270" t="str">
        <f t="shared" si="9"/>
        <v>No Risk</v>
      </c>
    </row>
    <row r="271" spans="1:13" x14ac:dyDescent="0.35">
      <c r="A271">
        <v>370</v>
      </c>
      <c r="B271" t="s">
        <v>11</v>
      </c>
      <c r="C271">
        <v>31</v>
      </c>
      <c r="D271" t="s">
        <v>12</v>
      </c>
      <c r="E271" t="s">
        <v>13</v>
      </c>
      <c r="F271" s="2">
        <v>1140.5999999999999</v>
      </c>
      <c r="G271">
        <v>15</v>
      </c>
      <c r="H271">
        <v>4.5</v>
      </c>
      <c r="I271" t="b">
        <v>1</v>
      </c>
      <c r="J271" s="12">
        <v>30</v>
      </c>
      <c r="K271" t="s">
        <v>14</v>
      </c>
      <c r="L271" s="12" t="str">
        <f t="shared" si="8"/>
        <v>5-weeks</v>
      </c>
      <c r="M271" t="str">
        <f t="shared" si="9"/>
        <v>At Risk</v>
      </c>
    </row>
    <row r="272" spans="1:13" x14ac:dyDescent="0.35">
      <c r="A272">
        <v>371</v>
      </c>
      <c r="B272" t="s">
        <v>15</v>
      </c>
      <c r="C272">
        <v>35</v>
      </c>
      <c r="D272" t="s">
        <v>16</v>
      </c>
      <c r="E272" t="s">
        <v>17</v>
      </c>
      <c r="F272" s="2">
        <v>800.9</v>
      </c>
      <c r="G272">
        <v>12</v>
      </c>
      <c r="H272">
        <v>4.0999999999999996</v>
      </c>
      <c r="I272" t="b">
        <v>0</v>
      </c>
      <c r="J272" s="12">
        <v>17</v>
      </c>
      <c r="K272" t="s">
        <v>18</v>
      </c>
      <c r="L272" s="12" t="str">
        <f t="shared" si="8"/>
        <v>3-weeks</v>
      </c>
      <c r="M272" t="str">
        <f t="shared" si="9"/>
        <v>No Risk</v>
      </c>
    </row>
    <row r="273" spans="1:13" x14ac:dyDescent="0.35">
      <c r="A273">
        <v>372</v>
      </c>
      <c r="B273" t="s">
        <v>11</v>
      </c>
      <c r="C273">
        <v>41</v>
      </c>
      <c r="D273" t="s">
        <v>19</v>
      </c>
      <c r="E273" t="s">
        <v>20</v>
      </c>
      <c r="F273" s="2">
        <v>475.25</v>
      </c>
      <c r="G273">
        <v>9</v>
      </c>
      <c r="H273">
        <v>3.6</v>
      </c>
      <c r="I273" t="b">
        <v>1</v>
      </c>
      <c r="J273" s="12">
        <v>42</v>
      </c>
      <c r="K273" t="s">
        <v>21</v>
      </c>
      <c r="L273" s="12" t="str">
        <f t="shared" si="8"/>
        <v>6-weeks</v>
      </c>
      <c r="M273" t="str">
        <f t="shared" si="9"/>
        <v>At Risk</v>
      </c>
    </row>
    <row r="274" spans="1:13" x14ac:dyDescent="0.35">
      <c r="A274">
        <v>373</v>
      </c>
      <c r="B274" t="s">
        <v>15</v>
      </c>
      <c r="C274">
        <v>28</v>
      </c>
      <c r="D274" t="s">
        <v>22</v>
      </c>
      <c r="E274" t="s">
        <v>13</v>
      </c>
      <c r="F274" s="2">
        <v>1480.1</v>
      </c>
      <c r="G274">
        <v>21</v>
      </c>
      <c r="H274">
        <v>4.9000000000000004</v>
      </c>
      <c r="I274" t="b">
        <v>0</v>
      </c>
      <c r="J274" s="12">
        <v>11</v>
      </c>
      <c r="K274" t="s">
        <v>14</v>
      </c>
      <c r="L274" s="12" t="str">
        <f t="shared" si="8"/>
        <v>2-weeks</v>
      </c>
      <c r="M274" t="str">
        <f t="shared" si="9"/>
        <v>No Risk</v>
      </c>
    </row>
    <row r="275" spans="1:13" x14ac:dyDescent="0.35">
      <c r="A275">
        <v>374</v>
      </c>
      <c r="B275" t="s">
        <v>15</v>
      </c>
      <c r="C275">
        <v>32</v>
      </c>
      <c r="D275" t="s">
        <v>23</v>
      </c>
      <c r="E275" t="s">
        <v>17</v>
      </c>
      <c r="F275" s="2">
        <v>660.3</v>
      </c>
      <c r="G275">
        <v>10</v>
      </c>
      <c r="H275">
        <v>3.8</v>
      </c>
      <c r="I275" t="b">
        <v>1</v>
      </c>
      <c r="J275" s="12">
        <v>36</v>
      </c>
      <c r="K275" t="s">
        <v>21</v>
      </c>
      <c r="L275" s="12" t="str">
        <f t="shared" si="8"/>
        <v>6-weeks</v>
      </c>
      <c r="M275" t="str">
        <f t="shared" si="9"/>
        <v>At Risk</v>
      </c>
    </row>
    <row r="276" spans="1:13" x14ac:dyDescent="0.35">
      <c r="A276">
        <v>375</v>
      </c>
      <c r="B276" t="s">
        <v>11</v>
      </c>
      <c r="C276">
        <v>36</v>
      </c>
      <c r="D276" t="s">
        <v>24</v>
      </c>
      <c r="E276" t="s">
        <v>20</v>
      </c>
      <c r="F276" s="2">
        <v>470.5</v>
      </c>
      <c r="G276">
        <v>8</v>
      </c>
      <c r="H276">
        <v>3</v>
      </c>
      <c r="I276" t="b">
        <v>0</v>
      </c>
      <c r="J276" s="12">
        <v>22</v>
      </c>
      <c r="K276" t="s">
        <v>18</v>
      </c>
      <c r="L276" s="12" t="str">
        <f t="shared" si="8"/>
        <v>4-weeks</v>
      </c>
      <c r="M276" t="str">
        <f t="shared" si="9"/>
        <v>No Risk</v>
      </c>
    </row>
    <row r="277" spans="1:13" x14ac:dyDescent="0.35">
      <c r="A277">
        <v>376</v>
      </c>
      <c r="B277" t="s">
        <v>11</v>
      </c>
      <c r="C277">
        <v>30</v>
      </c>
      <c r="D277" t="s">
        <v>12</v>
      </c>
      <c r="E277" t="s">
        <v>13</v>
      </c>
      <c r="F277" s="2">
        <v>1190.8</v>
      </c>
      <c r="G277">
        <v>16</v>
      </c>
      <c r="H277">
        <v>4.5</v>
      </c>
      <c r="I277" t="b">
        <v>1</v>
      </c>
      <c r="J277" s="12">
        <v>23</v>
      </c>
      <c r="K277" t="s">
        <v>14</v>
      </c>
      <c r="L277" s="12" t="str">
        <f t="shared" si="8"/>
        <v>4-weeks</v>
      </c>
      <c r="M277" t="str">
        <f t="shared" si="9"/>
        <v>No Risk</v>
      </c>
    </row>
    <row r="278" spans="1:13" x14ac:dyDescent="0.35">
      <c r="A278">
        <v>377</v>
      </c>
      <c r="B278" t="s">
        <v>15</v>
      </c>
      <c r="C278">
        <v>33</v>
      </c>
      <c r="D278" t="s">
        <v>16</v>
      </c>
      <c r="E278" t="s">
        <v>17</v>
      </c>
      <c r="F278" s="2">
        <v>770.2</v>
      </c>
      <c r="G278">
        <v>11</v>
      </c>
      <c r="H278">
        <v>4.2</v>
      </c>
      <c r="I278" t="b">
        <v>0</v>
      </c>
      <c r="J278" s="12">
        <v>18</v>
      </c>
      <c r="K278" t="s">
        <v>18</v>
      </c>
      <c r="L278" s="12" t="str">
        <f t="shared" si="8"/>
        <v>3-weeks</v>
      </c>
      <c r="M278" t="str">
        <f t="shared" si="9"/>
        <v>No Risk</v>
      </c>
    </row>
    <row r="279" spans="1:13" x14ac:dyDescent="0.35">
      <c r="A279">
        <v>378</v>
      </c>
      <c r="B279" t="s">
        <v>11</v>
      </c>
      <c r="C279">
        <v>43</v>
      </c>
      <c r="D279" t="s">
        <v>19</v>
      </c>
      <c r="E279" t="s">
        <v>20</v>
      </c>
      <c r="F279" s="2">
        <v>515.75</v>
      </c>
      <c r="G279">
        <v>10</v>
      </c>
      <c r="H279">
        <v>3.3</v>
      </c>
      <c r="I279" t="b">
        <v>1</v>
      </c>
      <c r="J279" s="12">
        <v>43</v>
      </c>
      <c r="K279" t="s">
        <v>21</v>
      </c>
      <c r="L279" s="12" t="str">
        <f t="shared" si="8"/>
        <v>7-weeks</v>
      </c>
      <c r="M279" t="str">
        <f t="shared" si="9"/>
        <v>At Risk</v>
      </c>
    </row>
    <row r="280" spans="1:13" x14ac:dyDescent="0.35">
      <c r="A280">
        <v>379</v>
      </c>
      <c r="B280" t="s">
        <v>15</v>
      </c>
      <c r="C280">
        <v>30</v>
      </c>
      <c r="D280" t="s">
        <v>22</v>
      </c>
      <c r="E280" t="s">
        <v>13</v>
      </c>
      <c r="F280" s="2">
        <v>1450.5</v>
      </c>
      <c r="G280">
        <v>19</v>
      </c>
      <c r="H280">
        <v>4.5999999999999996</v>
      </c>
      <c r="I280" t="b">
        <v>0</v>
      </c>
      <c r="J280" s="12">
        <v>12</v>
      </c>
      <c r="K280" t="s">
        <v>14</v>
      </c>
      <c r="L280" s="12" t="str">
        <f t="shared" si="8"/>
        <v>2-weeks</v>
      </c>
      <c r="M280" t="str">
        <f t="shared" si="9"/>
        <v>No Risk</v>
      </c>
    </row>
    <row r="281" spans="1:13" x14ac:dyDescent="0.35">
      <c r="A281">
        <v>380</v>
      </c>
      <c r="B281" t="s">
        <v>15</v>
      </c>
      <c r="C281">
        <v>27</v>
      </c>
      <c r="D281" t="s">
        <v>23</v>
      </c>
      <c r="E281" t="s">
        <v>17</v>
      </c>
      <c r="F281" s="2">
        <v>710.4</v>
      </c>
      <c r="G281">
        <v>13</v>
      </c>
      <c r="H281">
        <v>4.0999999999999996</v>
      </c>
      <c r="I281" t="b">
        <v>1</v>
      </c>
      <c r="J281" s="12">
        <v>58</v>
      </c>
      <c r="K281" t="s">
        <v>21</v>
      </c>
      <c r="L281" s="12" t="str">
        <f t="shared" si="8"/>
        <v>9-weeks</v>
      </c>
      <c r="M281" t="str">
        <f t="shared" si="9"/>
        <v>At Risk</v>
      </c>
    </row>
    <row r="282" spans="1:13" x14ac:dyDescent="0.35">
      <c r="A282">
        <v>381</v>
      </c>
      <c r="B282" t="s">
        <v>11</v>
      </c>
      <c r="C282">
        <v>37</v>
      </c>
      <c r="D282" t="s">
        <v>24</v>
      </c>
      <c r="E282" t="s">
        <v>20</v>
      </c>
      <c r="F282" s="2">
        <v>430.8</v>
      </c>
      <c r="G282">
        <v>7</v>
      </c>
      <c r="H282">
        <v>3.4</v>
      </c>
      <c r="I282" t="b">
        <v>0</v>
      </c>
      <c r="J282" s="12">
        <v>27</v>
      </c>
      <c r="K282" t="s">
        <v>18</v>
      </c>
      <c r="L282" s="12" t="str">
        <f t="shared" si="8"/>
        <v>4-weeks</v>
      </c>
      <c r="M282" t="str">
        <f t="shared" si="9"/>
        <v>No Risk</v>
      </c>
    </row>
    <row r="283" spans="1:13" x14ac:dyDescent="0.35">
      <c r="A283">
        <v>382</v>
      </c>
      <c r="B283" t="s">
        <v>11</v>
      </c>
      <c r="C283">
        <v>31</v>
      </c>
      <c r="D283" t="s">
        <v>12</v>
      </c>
      <c r="E283" t="s">
        <v>13</v>
      </c>
      <c r="F283" s="2">
        <v>1160.5999999999999</v>
      </c>
      <c r="G283">
        <v>15</v>
      </c>
      <c r="H283">
        <v>4.5</v>
      </c>
      <c r="I283" t="b">
        <v>1</v>
      </c>
      <c r="J283" s="12">
        <v>31</v>
      </c>
      <c r="K283" t="s">
        <v>14</v>
      </c>
      <c r="L283" s="12" t="str">
        <f t="shared" si="8"/>
        <v>5-weeks</v>
      </c>
      <c r="M283" t="str">
        <f t="shared" si="9"/>
        <v>At Risk</v>
      </c>
    </row>
    <row r="284" spans="1:13" x14ac:dyDescent="0.35">
      <c r="A284">
        <v>383</v>
      </c>
      <c r="B284" t="s">
        <v>15</v>
      </c>
      <c r="C284">
        <v>35</v>
      </c>
      <c r="D284" t="s">
        <v>16</v>
      </c>
      <c r="E284" t="s">
        <v>17</v>
      </c>
      <c r="F284" s="2">
        <v>820.9</v>
      </c>
      <c r="G284">
        <v>12</v>
      </c>
      <c r="H284">
        <v>4.3</v>
      </c>
      <c r="I284" t="b">
        <v>0</v>
      </c>
      <c r="J284" s="12">
        <v>15</v>
      </c>
      <c r="K284" t="s">
        <v>18</v>
      </c>
      <c r="L284" s="12" t="str">
        <f t="shared" si="8"/>
        <v>3-weeks</v>
      </c>
      <c r="M284" t="str">
        <f t="shared" si="9"/>
        <v>No Risk</v>
      </c>
    </row>
    <row r="285" spans="1:13" x14ac:dyDescent="0.35">
      <c r="A285">
        <v>384</v>
      </c>
      <c r="B285" t="s">
        <v>11</v>
      </c>
      <c r="C285">
        <v>41</v>
      </c>
      <c r="D285" t="s">
        <v>19</v>
      </c>
      <c r="E285" t="s">
        <v>20</v>
      </c>
      <c r="F285" s="2">
        <v>495.25</v>
      </c>
      <c r="G285">
        <v>9</v>
      </c>
      <c r="H285">
        <v>3.6</v>
      </c>
      <c r="I285" t="b">
        <v>1</v>
      </c>
      <c r="J285" s="12">
        <v>43</v>
      </c>
      <c r="K285" t="s">
        <v>21</v>
      </c>
      <c r="L285" s="12" t="str">
        <f t="shared" si="8"/>
        <v>7-weeks</v>
      </c>
      <c r="M285" t="str">
        <f t="shared" si="9"/>
        <v>At Risk</v>
      </c>
    </row>
    <row r="286" spans="1:13" x14ac:dyDescent="0.35">
      <c r="A286">
        <v>385</v>
      </c>
      <c r="B286" t="s">
        <v>15</v>
      </c>
      <c r="C286">
        <v>28</v>
      </c>
      <c r="D286" t="s">
        <v>22</v>
      </c>
      <c r="E286" t="s">
        <v>13</v>
      </c>
      <c r="F286" s="2">
        <v>1490.1</v>
      </c>
      <c r="G286">
        <v>21</v>
      </c>
      <c r="H286">
        <v>4.9000000000000004</v>
      </c>
      <c r="I286" t="b">
        <v>0</v>
      </c>
      <c r="J286" s="12">
        <v>10</v>
      </c>
      <c r="K286" t="s">
        <v>14</v>
      </c>
      <c r="L286" s="12" t="str">
        <f t="shared" si="8"/>
        <v>2-weeks</v>
      </c>
      <c r="M286" t="str">
        <f t="shared" si="9"/>
        <v>No Risk</v>
      </c>
    </row>
    <row r="287" spans="1:13" x14ac:dyDescent="0.35">
      <c r="A287">
        <v>386</v>
      </c>
      <c r="B287" t="s">
        <v>15</v>
      </c>
      <c r="C287">
        <v>32</v>
      </c>
      <c r="D287" t="s">
        <v>23</v>
      </c>
      <c r="E287" t="s">
        <v>17</v>
      </c>
      <c r="F287" s="2">
        <v>660.3</v>
      </c>
      <c r="G287">
        <v>10</v>
      </c>
      <c r="H287">
        <v>3.8</v>
      </c>
      <c r="I287" t="b">
        <v>1</v>
      </c>
      <c r="J287" s="12">
        <v>37</v>
      </c>
      <c r="K287" t="s">
        <v>21</v>
      </c>
      <c r="L287" s="12" t="str">
        <f t="shared" si="8"/>
        <v>6-weeks</v>
      </c>
      <c r="M287" t="str">
        <f t="shared" si="9"/>
        <v>At Risk</v>
      </c>
    </row>
    <row r="288" spans="1:13" x14ac:dyDescent="0.35">
      <c r="A288">
        <v>387</v>
      </c>
      <c r="B288" t="s">
        <v>11</v>
      </c>
      <c r="C288">
        <v>36</v>
      </c>
      <c r="D288" t="s">
        <v>24</v>
      </c>
      <c r="E288" t="s">
        <v>20</v>
      </c>
      <c r="F288" s="2">
        <v>440.5</v>
      </c>
      <c r="G288">
        <v>8</v>
      </c>
      <c r="H288">
        <v>3.1</v>
      </c>
      <c r="I288" t="b">
        <v>0</v>
      </c>
      <c r="J288" s="12">
        <v>23</v>
      </c>
      <c r="K288" t="s">
        <v>18</v>
      </c>
      <c r="L288" s="12" t="str">
        <f t="shared" si="8"/>
        <v>4-weeks</v>
      </c>
      <c r="M288" t="str">
        <f t="shared" si="9"/>
        <v>No Risk</v>
      </c>
    </row>
    <row r="289" spans="1:13" x14ac:dyDescent="0.35">
      <c r="A289">
        <v>388</v>
      </c>
      <c r="B289" t="s">
        <v>11</v>
      </c>
      <c r="C289">
        <v>30</v>
      </c>
      <c r="D289" t="s">
        <v>12</v>
      </c>
      <c r="E289" t="s">
        <v>13</v>
      </c>
      <c r="F289" s="2">
        <v>1200.8</v>
      </c>
      <c r="G289">
        <v>16</v>
      </c>
      <c r="H289">
        <v>4.7</v>
      </c>
      <c r="I289" t="b">
        <v>1</v>
      </c>
      <c r="J289" s="12">
        <v>24</v>
      </c>
      <c r="K289" t="s">
        <v>14</v>
      </c>
      <c r="L289" s="12" t="str">
        <f t="shared" si="8"/>
        <v>4-weeks</v>
      </c>
      <c r="M289" t="str">
        <f t="shared" si="9"/>
        <v>No Risk</v>
      </c>
    </row>
    <row r="290" spans="1:13" x14ac:dyDescent="0.35">
      <c r="A290">
        <v>389</v>
      </c>
      <c r="B290" t="s">
        <v>15</v>
      </c>
      <c r="C290">
        <v>34</v>
      </c>
      <c r="D290" t="s">
        <v>16</v>
      </c>
      <c r="E290" t="s">
        <v>17</v>
      </c>
      <c r="F290" s="2">
        <v>780.2</v>
      </c>
      <c r="G290">
        <v>11</v>
      </c>
      <c r="H290">
        <v>4.0999999999999996</v>
      </c>
      <c r="I290" t="b">
        <v>0</v>
      </c>
      <c r="J290" s="12">
        <v>16</v>
      </c>
      <c r="K290" t="s">
        <v>18</v>
      </c>
      <c r="L290" s="12" t="str">
        <f t="shared" si="8"/>
        <v>3-weeks</v>
      </c>
      <c r="M290" t="str">
        <f t="shared" si="9"/>
        <v>No Risk</v>
      </c>
    </row>
    <row r="291" spans="1:13" x14ac:dyDescent="0.35">
      <c r="A291">
        <v>390</v>
      </c>
      <c r="B291" t="s">
        <v>11</v>
      </c>
      <c r="C291">
        <v>43</v>
      </c>
      <c r="D291" t="s">
        <v>19</v>
      </c>
      <c r="E291" t="s">
        <v>20</v>
      </c>
      <c r="F291" s="2">
        <v>505.75</v>
      </c>
      <c r="G291">
        <v>10</v>
      </c>
      <c r="H291">
        <v>3.3</v>
      </c>
      <c r="I291" t="b">
        <v>1</v>
      </c>
      <c r="J291" s="12">
        <v>44</v>
      </c>
      <c r="K291" t="s">
        <v>21</v>
      </c>
      <c r="L291" s="12" t="str">
        <f t="shared" si="8"/>
        <v>7-weeks</v>
      </c>
      <c r="M291" t="str">
        <f t="shared" si="9"/>
        <v>At Risk</v>
      </c>
    </row>
    <row r="292" spans="1:13" x14ac:dyDescent="0.35">
      <c r="A292">
        <v>391</v>
      </c>
      <c r="B292" t="s">
        <v>15</v>
      </c>
      <c r="C292">
        <v>30</v>
      </c>
      <c r="D292" t="s">
        <v>22</v>
      </c>
      <c r="E292" t="s">
        <v>13</v>
      </c>
      <c r="F292" s="2">
        <v>1460.5</v>
      </c>
      <c r="G292">
        <v>20</v>
      </c>
      <c r="H292">
        <v>4.8</v>
      </c>
      <c r="I292" t="b">
        <v>0</v>
      </c>
      <c r="J292" s="12">
        <v>13</v>
      </c>
      <c r="K292" t="s">
        <v>14</v>
      </c>
      <c r="L292" s="12" t="str">
        <f t="shared" si="8"/>
        <v>2-weeks</v>
      </c>
      <c r="M292" t="str">
        <f t="shared" si="9"/>
        <v>No Risk</v>
      </c>
    </row>
    <row r="293" spans="1:13" x14ac:dyDescent="0.35">
      <c r="A293">
        <v>392</v>
      </c>
      <c r="B293" t="s">
        <v>15</v>
      </c>
      <c r="C293">
        <v>27</v>
      </c>
      <c r="D293" t="s">
        <v>23</v>
      </c>
      <c r="E293" t="s">
        <v>17</v>
      </c>
      <c r="F293" s="2">
        <v>710.4</v>
      </c>
      <c r="G293">
        <v>13</v>
      </c>
      <c r="H293">
        <v>4.0999999999999996</v>
      </c>
      <c r="I293" t="b">
        <v>1</v>
      </c>
      <c r="J293" s="12">
        <v>59</v>
      </c>
      <c r="K293" t="s">
        <v>21</v>
      </c>
      <c r="L293" s="12" t="str">
        <f t="shared" si="8"/>
        <v>9-weeks</v>
      </c>
      <c r="M293" t="str">
        <f t="shared" si="9"/>
        <v>At Risk</v>
      </c>
    </row>
    <row r="294" spans="1:13" x14ac:dyDescent="0.35">
      <c r="A294">
        <v>393</v>
      </c>
      <c r="B294" t="s">
        <v>11</v>
      </c>
      <c r="C294">
        <v>37</v>
      </c>
      <c r="D294" t="s">
        <v>24</v>
      </c>
      <c r="E294" t="s">
        <v>20</v>
      </c>
      <c r="F294" s="2">
        <v>450.8</v>
      </c>
      <c r="G294">
        <v>7</v>
      </c>
      <c r="H294">
        <v>3.4</v>
      </c>
      <c r="I294" t="b">
        <v>0</v>
      </c>
      <c r="J294" s="12">
        <v>28</v>
      </c>
      <c r="K294" t="s">
        <v>18</v>
      </c>
      <c r="L294" s="12" t="str">
        <f t="shared" si="8"/>
        <v>4-weeks</v>
      </c>
      <c r="M294" t="str">
        <f t="shared" si="9"/>
        <v>No Risk</v>
      </c>
    </row>
    <row r="295" spans="1:13" x14ac:dyDescent="0.35">
      <c r="A295">
        <v>394</v>
      </c>
      <c r="B295" t="s">
        <v>11</v>
      </c>
      <c r="C295">
        <v>31</v>
      </c>
      <c r="D295" t="s">
        <v>12</v>
      </c>
      <c r="E295" t="s">
        <v>13</v>
      </c>
      <c r="F295" s="2">
        <v>1140.5999999999999</v>
      </c>
      <c r="G295">
        <v>15</v>
      </c>
      <c r="H295">
        <v>4.5</v>
      </c>
      <c r="I295" t="b">
        <v>1</v>
      </c>
      <c r="J295" s="12">
        <v>32</v>
      </c>
      <c r="K295" t="s">
        <v>14</v>
      </c>
      <c r="L295" s="12" t="str">
        <f t="shared" si="8"/>
        <v>5-weeks</v>
      </c>
      <c r="M295" t="str">
        <f t="shared" si="9"/>
        <v>At Risk</v>
      </c>
    </row>
    <row r="296" spans="1:13" x14ac:dyDescent="0.35">
      <c r="A296">
        <v>395</v>
      </c>
      <c r="B296" t="s">
        <v>15</v>
      </c>
      <c r="C296">
        <v>35</v>
      </c>
      <c r="D296" t="s">
        <v>16</v>
      </c>
      <c r="E296" t="s">
        <v>17</v>
      </c>
      <c r="F296" s="2">
        <v>800.9</v>
      </c>
      <c r="G296">
        <v>12</v>
      </c>
      <c r="H296">
        <v>4.0999999999999996</v>
      </c>
      <c r="I296" t="b">
        <v>0</v>
      </c>
      <c r="J296" s="12">
        <v>17</v>
      </c>
      <c r="K296" t="s">
        <v>18</v>
      </c>
      <c r="L296" s="12" t="str">
        <f t="shared" si="8"/>
        <v>3-weeks</v>
      </c>
      <c r="M296" t="str">
        <f t="shared" si="9"/>
        <v>No Risk</v>
      </c>
    </row>
    <row r="297" spans="1:13" x14ac:dyDescent="0.35">
      <c r="A297">
        <v>396</v>
      </c>
      <c r="B297" t="s">
        <v>11</v>
      </c>
      <c r="C297">
        <v>41</v>
      </c>
      <c r="D297" t="s">
        <v>19</v>
      </c>
      <c r="E297" t="s">
        <v>20</v>
      </c>
      <c r="F297" s="2">
        <v>475.25</v>
      </c>
      <c r="G297">
        <v>9</v>
      </c>
      <c r="H297">
        <v>3.6</v>
      </c>
      <c r="I297" t="b">
        <v>1</v>
      </c>
      <c r="J297" s="12">
        <v>44</v>
      </c>
      <c r="K297" t="s">
        <v>21</v>
      </c>
      <c r="L297" s="12" t="str">
        <f t="shared" si="8"/>
        <v>7-weeks</v>
      </c>
      <c r="M297" t="str">
        <f t="shared" si="9"/>
        <v>At Risk</v>
      </c>
    </row>
    <row r="298" spans="1:13" x14ac:dyDescent="0.35">
      <c r="A298">
        <v>397</v>
      </c>
      <c r="B298" t="s">
        <v>15</v>
      </c>
      <c r="C298">
        <v>28</v>
      </c>
      <c r="D298" t="s">
        <v>22</v>
      </c>
      <c r="E298" t="s">
        <v>13</v>
      </c>
      <c r="F298" s="2">
        <v>1480.1</v>
      </c>
      <c r="G298">
        <v>21</v>
      </c>
      <c r="H298">
        <v>4.9000000000000004</v>
      </c>
      <c r="I298" t="b">
        <v>0</v>
      </c>
      <c r="J298" s="12">
        <v>12</v>
      </c>
      <c r="K298" t="s">
        <v>14</v>
      </c>
      <c r="L298" s="12" t="str">
        <f t="shared" si="8"/>
        <v>2-weeks</v>
      </c>
      <c r="M298" t="str">
        <f t="shared" si="9"/>
        <v>No Risk</v>
      </c>
    </row>
    <row r="299" spans="1:13" x14ac:dyDescent="0.35">
      <c r="A299">
        <v>398</v>
      </c>
      <c r="B299" t="s">
        <v>15</v>
      </c>
      <c r="C299">
        <v>32</v>
      </c>
      <c r="D299" t="s">
        <v>23</v>
      </c>
      <c r="E299" t="s">
        <v>17</v>
      </c>
      <c r="F299" s="2">
        <v>660.3</v>
      </c>
      <c r="G299">
        <v>10</v>
      </c>
      <c r="H299">
        <v>3.8</v>
      </c>
      <c r="I299" t="b">
        <v>1</v>
      </c>
      <c r="J299" s="12">
        <v>38</v>
      </c>
      <c r="K299" t="s">
        <v>21</v>
      </c>
      <c r="L299" s="12" t="str">
        <f t="shared" si="8"/>
        <v>6-weeks</v>
      </c>
      <c r="M299" t="str">
        <f t="shared" si="9"/>
        <v>At Risk</v>
      </c>
    </row>
    <row r="300" spans="1:13" x14ac:dyDescent="0.35">
      <c r="A300">
        <v>399</v>
      </c>
      <c r="B300" t="s">
        <v>11</v>
      </c>
      <c r="C300">
        <v>36</v>
      </c>
      <c r="D300" t="s">
        <v>24</v>
      </c>
      <c r="E300" t="s">
        <v>20</v>
      </c>
      <c r="F300" s="2">
        <v>470.5</v>
      </c>
      <c r="G300">
        <v>8</v>
      </c>
      <c r="H300">
        <v>3</v>
      </c>
      <c r="I300" t="b">
        <v>0</v>
      </c>
      <c r="J300" s="12">
        <v>22</v>
      </c>
      <c r="K300" t="s">
        <v>18</v>
      </c>
      <c r="L300" s="12" t="str">
        <f t="shared" si="8"/>
        <v>4-weeks</v>
      </c>
      <c r="M300" t="str">
        <f t="shared" si="9"/>
        <v>No Risk</v>
      </c>
    </row>
    <row r="301" spans="1:13" x14ac:dyDescent="0.35">
      <c r="A301">
        <v>400</v>
      </c>
      <c r="B301" t="s">
        <v>11</v>
      </c>
      <c r="C301">
        <v>30</v>
      </c>
      <c r="D301" t="s">
        <v>12</v>
      </c>
      <c r="E301" t="s">
        <v>13</v>
      </c>
      <c r="F301" s="2">
        <v>1190.8</v>
      </c>
      <c r="G301">
        <v>16</v>
      </c>
      <c r="H301">
        <v>4.5</v>
      </c>
      <c r="I301" t="b">
        <v>1</v>
      </c>
      <c r="J301" s="12">
        <v>25</v>
      </c>
      <c r="K301" t="s">
        <v>14</v>
      </c>
      <c r="L301" s="12" t="str">
        <f t="shared" si="8"/>
        <v>4-weeks</v>
      </c>
      <c r="M301" t="str">
        <f t="shared" si="9"/>
        <v>No Risk</v>
      </c>
    </row>
    <row r="302" spans="1:13" x14ac:dyDescent="0.35">
      <c r="A302">
        <v>401</v>
      </c>
      <c r="B302" t="s">
        <v>15</v>
      </c>
      <c r="C302">
        <v>33</v>
      </c>
      <c r="D302" t="s">
        <v>16</v>
      </c>
      <c r="E302" t="s">
        <v>17</v>
      </c>
      <c r="F302" s="2">
        <v>800.2</v>
      </c>
      <c r="G302">
        <v>11</v>
      </c>
      <c r="H302">
        <v>4.0999999999999996</v>
      </c>
      <c r="I302" t="b">
        <v>0</v>
      </c>
      <c r="J302" s="12">
        <v>18</v>
      </c>
      <c r="K302" t="s">
        <v>18</v>
      </c>
      <c r="L302" s="12" t="str">
        <f t="shared" si="8"/>
        <v>3-weeks</v>
      </c>
      <c r="M302" t="str">
        <f t="shared" si="9"/>
        <v>No Risk</v>
      </c>
    </row>
    <row r="303" spans="1:13" x14ac:dyDescent="0.35">
      <c r="A303">
        <v>402</v>
      </c>
      <c r="B303" t="s">
        <v>11</v>
      </c>
      <c r="C303">
        <v>43</v>
      </c>
      <c r="D303" t="s">
        <v>19</v>
      </c>
      <c r="E303" t="s">
        <v>20</v>
      </c>
      <c r="F303" s="2">
        <v>515.75</v>
      </c>
      <c r="G303">
        <v>10</v>
      </c>
      <c r="H303">
        <v>3.3</v>
      </c>
      <c r="I303" t="b">
        <v>1</v>
      </c>
      <c r="J303" s="12">
        <v>45</v>
      </c>
      <c r="K303" t="s">
        <v>21</v>
      </c>
      <c r="L303" s="12" t="str">
        <f t="shared" si="8"/>
        <v>7-weeks</v>
      </c>
      <c r="M303" t="str">
        <f t="shared" si="9"/>
        <v>At Risk</v>
      </c>
    </row>
    <row r="304" spans="1:13" x14ac:dyDescent="0.35">
      <c r="A304">
        <v>403</v>
      </c>
      <c r="B304" t="s">
        <v>15</v>
      </c>
      <c r="C304">
        <v>30</v>
      </c>
      <c r="D304" t="s">
        <v>22</v>
      </c>
      <c r="E304" t="s">
        <v>13</v>
      </c>
      <c r="F304" s="2">
        <v>1450.5</v>
      </c>
      <c r="G304">
        <v>19</v>
      </c>
      <c r="H304">
        <v>4.5999999999999996</v>
      </c>
      <c r="I304" t="b">
        <v>0</v>
      </c>
      <c r="J304" s="12">
        <v>13</v>
      </c>
      <c r="K304" t="s">
        <v>14</v>
      </c>
      <c r="L304" s="12" t="str">
        <f t="shared" si="8"/>
        <v>2-weeks</v>
      </c>
      <c r="M304" t="str">
        <f t="shared" si="9"/>
        <v>No Risk</v>
      </c>
    </row>
    <row r="305" spans="1:13" x14ac:dyDescent="0.35">
      <c r="A305">
        <v>404</v>
      </c>
      <c r="B305" t="s">
        <v>15</v>
      </c>
      <c r="C305">
        <v>27</v>
      </c>
      <c r="D305" t="s">
        <v>23</v>
      </c>
      <c r="E305" t="s">
        <v>17</v>
      </c>
      <c r="F305" s="2">
        <v>710.4</v>
      </c>
      <c r="G305">
        <v>13</v>
      </c>
      <c r="H305">
        <v>4.0999999999999996</v>
      </c>
      <c r="I305" t="b">
        <v>1</v>
      </c>
      <c r="J305" s="12">
        <v>60</v>
      </c>
      <c r="K305" t="s">
        <v>21</v>
      </c>
      <c r="L305" s="12" t="str">
        <f t="shared" si="8"/>
        <v>9-weeks</v>
      </c>
      <c r="M305" t="str">
        <f t="shared" si="9"/>
        <v>At Risk</v>
      </c>
    </row>
    <row r="306" spans="1:13" x14ac:dyDescent="0.35">
      <c r="A306">
        <v>405</v>
      </c>
      <c r="B306" t="s">
        <v>11</v>
      </c>
      <c r="C306">
        <v>37</v>
      </c>
      <c r="D306" t="s">
        <v>24</v>
      </c>
      <c r="E306" t="s">
        <v>20</v>
      </c>
      <c r="F306" s="2">
        <v>430.8</v>
      </c>
      <c r="G306">
        <v>7</v>
      </c>
      <c r="H306">
        <v>3.4</v>
      </c>
      <c r="I306" t="b">
        <v>0</v>
      </c>
      <c r="J306" s="12">
        <v>29</v>
      </c>
      <c r="K306" t="s">
        <v>18</v>
      </c>
      <c r="L306" s="12" t="str">
        <f t="shared" si="8"/>
        <v>5-weeks</v>
      </c>
      <c r="M306" t="str">
        <f t="shared" si="9"/>
        <v>At Risk</v>
      </c>
    </row>
    <row r="307" spans="1:13" x14ac:dyDescent="0.35">
      <c r="A307">
        <v>406</v>
      </c>
      <c r="B307" t="s">
        <v>11</v>
      </c>
      <c r="C307">
        <v>31</v>
      </c>
      <c r="D307" t="s">
        <v>12</v>
      </c>
      <c r="E307" t="s">
        <v>13</v>
      </c>
      <c r="F307" s="2">
        <v>1160.5999999999999</v>
      </c>
      <c r="G307">
        <v>15</v>
      </c>
      <c r="H307">
        <v>4.5</v>
      </c>
      <c r="I307" t="b">
        <v>1</v>
      </c>
      <c r="J307" s="12">
        <v>33</v>
      </c>
      <c r="K307" t="s">
        <v>14</v>
      </c>
      <c r="L307" s="12" t="str">
        <f t="shared" si="8"/>
        <v>5-weeks</v>
      </c>
      <c r="M307" t="str">
        <f t="shared" si="9"/>
        <v>At Risk</v>
      </c>
    </row>
    <row r="308" spans="1:13" x14ac:dyDescent="0.35">
      <c r="A308">
        <v>407</v>
      </c>
      <c r="B308" t="s">
        <v>15</v>
      </c>
      <c r="C308">
        <v>35</v>
      </c>
      <c r="D308" t="s">
        <v>16</v>
      </c>
      <c r="E308" t="s">
        <v>17</v>
      </c>
      <c r="F308" s="2">
        <v>820.9</v>
      </c>
      <c r="G308">
        <v>12</v>
      </c>
      <c r="H308">
        <v>4.3</v>
      </c>
      <c r="I308" t="b">
        <v>0</v>
      </c>
      <c r="J308" s="12">
        <v>16</v>
      </c>
      <c r="K308" t="s">
        <v>18</v>
      </c>
      <c r="L308" s="12" t="str">
        <f t="shared" si="8"/>
        <v>3-weeks</v>
      </c>
      <c r="M308" t="str">
        <f t="shared" si="9"/>
        <v>No Risk</v>
      </c>
    </row>
    <row r="309" spans="1:13" x14ac:dyDescent="0.35">
      <c r="A309">
        <v>408</v>
      </c>
      <c r="B309" t="s">
        <v>11</v>
      </c>
      <c r="C309">
        <v>41</v>
      </c>
      <c r="D309" t="s">
        <v>19</v>
      </c>
      <c r="E309" t="s">
        <v>20</v>
      </c>
      <c r="F309" s="2">
        <v>495.25</v>
      </c>
      <c r="G309">
        <v>9</v>
      </c>
      <c r="H309">
        <v>3.6</v>
      </c>
      <c r="I309" t="b">
        <v>1</v>
      </c>
      <c r="J309" s="12">
        <v>45</v>
      </c>
      <c r="K309" t="s">
        <v>21</v>
      </c>
      <c r="L309" s="12" t="str">
        <f t="shared" si="8"/>
        <v>7-weeks</v>
      </c>
      <c r="M309" t="str">
        <f t="shared" si="9"/>
        <v>At Risk</v>
      </c>
    </row>
    <row r="310" spans="1:13" x14ac:dyDescent="0.35">
      <c r="A310">
        <v>409</v>
      </c>
      <c r="B310" t="s">
        <v>15</v>
      </c>
      <c r="C310">
        <v>28</v>
      </c>
      <c r="D310" t="s">
        <v>22</v>
      </c>
      <c r="E310" t="s">
        <v>13</v>
      </c>
      <c r="F310" s="2">
        <v>1490.1</v>
      </c>
      <c r="G310">
        <v>21</v>
      </c>
      <c r="H310">
        <v>4.9000000000000004</v>
      </c>
      <c r="I310" t="b">
        <v>0</v>
      </c>
      <c r="J310" s="12">
        <v>11</v>
      </c>
      <c r="K310" t="s">
        <v>14</v>
      </c>
      <c r="L310" s="12" t="str">
        <f t="shared" si="8"/>
        <v>2-weeks</v>
      </c>
      <c r="M310" t="str">
        <f t="shared" si="9"/>
        <v>No Risk</v>
      </c>
    </row>
    <row r="311" spans="1:13" x14ac:dyDescent="0.35">
      <c r="A311">
        <v>410</v>
      </c>
      <c r="B311" t="s">
        <v>15</v>
      </c>
      <c r="C311">
        <v>32</v>
      </c>
      <c r="D311" t="s">
        <v>23</v>
      </c>
      <c r="E311" t="s">
        <v>17</v>
      </c>
      <c r="F311" s="2">
        <v>660.3</v>
      </c>
      <c r="G311">
        <v>10</v>
      </c>
      <c r="H311">
        <v>3.8</v>
      </c>
      <c r="I311" t="b">
        <v>1</v>
      </c>
      <c r="J311" s="12">
        <v>39</v>
      </c>
      <c r="K311" t="s">
        <v>21</v>
      </c>
      <c r="L311" s="12" t="str">
        <f t="shared" si="8"/>
        <v>6-weeks</v>
      </c>
      <c r="M311" t="str">
        <f t="shared" si="9"/>
        <v>At Risk</v>
      </c>
    </row>
    <row r="312" spans="1:13" x14ac:dyDescent="0.35">
      <c r="A312">
        <v>411</v>
      </c>
      <c r="B312" t="s">
        <v>11</v>
      </c>
      <c r="C312">
        <v>36</v>
      </c>
      <c r="D312" t="s">
        <v>24</v>
      </c>
      <c r="E312" t="s">
        <v>20</v>
      </c>
      <c r="F312" s="2">
        <v>440.5</v>
      </c>
      <c r="G312">
        <v>8</v>
      </c>
      <c r="H312">
        <v>3.1</v>
      </c>
      <c r="I312" t="b">
        <v>0</v>
      </c>
      <c r="J312" s="12">
        <v>24</v>
      </c>
      <c r="K312" t="s">
        <v>18</v>
      </c>
      <c r="L312" s="12" t="str">
        <f t="shared" si="8"/>
        <v>4-weeks</v>
      </c>
      <c r="M312" t="str">
        <f t="shared" si="9"/>
        <v>No Risk</v>
      </c>
    </row>
    <row r="313" spans="1:13" x14ac:dyDescent="0.35">
      <c r="A313">
        <v>412</v>
      </c>
      <c r="B313" t="s">
        <v>11</v>
      </c>
      <c r="C313">
        <v>30</v>
      </c>
      <c r="D313" t="s">
        <v>12</v>
      </c>
      <c r="E313" t="s">
        <v>13</v>
      </c>
      <c r="F313" s="2">
        <v>1200.8</v>
      </c>
      <c r="G313">
        <v>16</v>
      </c>
      <c r="H313">
        <v>4.7</v>
      </c>
      <c r="I313" t="b">
        <v>1</v>
      </c>
      <c r="J313" s="12">
        <v>25</v>
      </c>
      <c r="K313" t="s">
        <v>14</v>
      </c>
      <c r="L313" s="12" t="str">
        <f t="shared" si="8"/>
        <v>4-weeks</v>
      </c>
      <c r="M313" t="str">
        <f t="shared" si="9"/>
        <v>No Risk</v>
      </c>
    </row>
    <row r="314" spans="1:13" x14ac:dyDescent="0.35">
      <c r="A314">
        <v>413</v>
      </c>
      <c r="B314" t="s">
        <v>15</v>
      </c>
      <c r="C314">
        <v>34</v>
      </c>
      <c r="D314" t="s">
        <v>16</v>
      </c>
      <c r="E314" t="s">
        <v>17</v>
      </c>
      <c r="F314" s="2">
        <v>780.2</v>
      </c>
      <c r="G314">
        <v>11</v>
      </c>
      <c r="H314">
        <v>4.0999999999999996</v>
      </c>
      <c r="I314" t="b">
        <v>0</v>
      </c>
      <c r="J314" s="12">
        <v>17</v>
      </c>
      <c r="K314" t="s">
        <v>18</v>
      </c>
      <c r="L314" s="12" t="str">
        <f t="shared" si="8"/>
        <v>3-weeks</v>
      </c>
      <c r="M314" t="str">
        <f t="shared" si="9"/>
        <v>No Risk</v>
      </c>
    </row>
    <row r="315" spans="1:13" x14ac:dyDescent="0.35">
      <c r="A315">
        <v>414</v>
      </c>
      <c r="B315" t="s">
        <v>11</v>
      </c>
      <c r="C315">
        <v>43</v>
      </c>
      <c r="D315" t="s">
        <v>19</v>
      </c>
      <c r="E315" t="s">
        <v>20</v>
      </c>
      <c r="F315" s="2">
        <v>505.75</v>
      </c>
      <c r="G315">
        <v>10</v>
      </c>
      <c r="H315">
        <v>3.3</v>
      </c>
      <c r="I315" t="b">
        <v>1</v>
      </c>
      <c r="J315" s="12">
        <v>46</v>
      </c>
      <c r="K315" t="s">
        <v>21</v>
      </c>
      <c r="L315" s="12" t="str">
        <f t="shared" si="8"/>
        <v>7-weeks</v>
      </c>
      <c r="M315" t="str">
        <f t="shared" si="9"/>
        <v>At Risk</v>
      </c>
    </row>
    <row r="316" spans="1:13" x14ac:dyDescent="0.35">
      <c r="A316">
        <v>415</v>
      </c>
      <c r="B316" t="s">
        <v>15</v>
      </c>
      <c r="C316">
        <v>30</v>
      </c>
      <c r="D316" t="s">
        <v>22</v>
      </c>
      <c r="E316" t="s">
        <v>13</v>
      </c>
      <c r="F316" s="2">
        <v>1460.5</v>
      </c>
      <c r="G316">
        <v>20</v>
      </c>
      <c r="H316">
        <v>4.8</v>
      </c>
      <c r="I316" t="b">
        <v>0</v>
      </c>
      <c r="J316" s="12">
        <v>14</v>
      </c>
      <c r="K316" t="s">
        <v>14</v>
      </c>
      <c r="L316" s="12" t="str">
        <f t="shared" si="8"/>
        <v>2-weeks</v>
      </c>
      <c r="M316" t="str">
        <f t="shared" si="9"/>
        <v>No Risk</v>
      </c>
    </row>
    <row r="317" spans="1:13" x14ac:dyDescent="0.35">
      <c r="A317">
        <v>416</v>
      </c>
      <c r="B317" t="s">
        <v>15</v>
      </c>
      <c r="C317">
        <v>27</v>
      </c>
      <c r="D317" t="s">
        <v>23</v>
      </c>
      <c r="E317" t="s">
        <v>17</v>
      </c>
      <c r="F317" s="2">
        <v>710.4</v>
      </c>
      <c r="G317">
        <v>13</v>
      </c>
      <c r="H317">
        <v>4.0999999999999996</v>
      </c>
      <c r="I317" t="b">
        <v>1</v>
      </c>
      <c r="J317" s="12">
        <v>61</v>
      </c>
      <c r="K317" t="s">
        <v>21</v>
      </c>
      <c r="L317" s="12" t="str">
        <f t="shared" si="8"/>
        <v>9-weeks</v>
      </c>
      <c r="M317" t="str">
        <f t="shared" si="9"/>
        <v>At Risk</v>
      </c>
    </row>
    <row r="318" spans="1:13" x14ac:dyDescent="0.35">
      <c r="A318">
        <v>417</v>
      </c>
      <c r="B318" t="s">
        <v>11</v>
      </c>
      <c r="C318">
        <v>37</v>
      </c>
      <c r="D318" t="s">
        <v>24</v>
      </c>
      <c r="E318" t="s">
        <v>20</v>
      </c>
      <c r="F318" s="2">
        <v>450.8</v>
      </c>
      <c r="G318">
        <v>7</v>
      </c>
      <c r="H318">
        <v>3.4</v>
      </c>
      <c r="I318" t="b">
        <v>0</v>
      </c>
      <c r="J318" s="12">
        <v>30</v>
      </c>
      <c r="K318" t="s">
        <v>18</v>
      </c>
      <c r="L318" s="12" t="str">
        <f t="shared" si="8"/>
        <v>5-weeks</v>
      </c>
      <c r="M318" t="str">
        <f t="shared" si="9"/>
        <v>At Risk</v>
      </c>
    </row>
    <row r="319" spans="1:13" x14ac:dyDescent="0.35">
      <c r="A319">
        <v>418</v>
      </c>
      <c r="B319" t="s">
        <v>11</v>
      </c>
      <c r="C319">
        <v>31</v>
      </c>
      <c r="D319" t="s">
        <v>12</v>
      </c>
      <c r="E319" t="s">
        <v>13</v>
      </c>
      <c r="F319" s="2">
        <v>1140.5999999999999</v>
      </c>
      <c r="G319">
        <v>15</v>
      </c>
      <c r="H319">
        <v>4.5</v>
      </c>
      <c r="I319" t="b">
        <v>1</v>
      </c>
      <c r="J319" s="12">
        <v>34</v>
      </c>
      <c r="K319" t="s">
        <v>14</v>
      </c>
      <c r="L319" s="12" t="str">
        <f t="shared" si="8"/>
        <v>5-weeks</v>
      </c>
      <c r="M319" t="str">
        <f t="shared" si="9"/>
        <v>At Risk</v>
      </c>
    </row>
    <row r="320" spans="1:13" x14ac:dyDescent="0.35">
      <c r="A320">
        <v>419</v>
      </c>
      <c r="B320" t="s">
        <v>15</v>
      </c>
      <c r="C320">
        <v>35</v>
      </c>
      <c r="D320" t="s">
        <v>16</v>
      </c>
      <c r="E320" t="s">
        <v>17</v>
      </c>
      <c r="F320" s="2">
        <v>800.9</v>
      </c>
      <c r="G320">
        <v>12</v>
      </c>
      <c r="H320">
        <v>4.0999999999999996</v>
      </c>
      <c r="I320" t="b">
        <v>0</v>
      </c>
      <c r="J320" s="12">
        <v>19</v>
      </c>
      <c r="K320" t="s">
        <v>18</v>
      </c>
      <c r="L320" s="12" t="str">
        <f t="shared" si="8"/>
        <v>3-weeks</v>
      </c>
      <c r="M320" t="str">
        <f t="shared" si="9"/>
        <v>No Risk</v>
      </c>
    </row>
    <row r="321" spans="1:13" x14ac:dyDescent="0.35">
      <c r="A321">
        <v>420</v>
      </c>
      <c r="B321" t="s">
        <v>11</v>
      </c>
      <c r="C321">
        <v>41</v>
      </c>
      <c r="D321" t="s">
        <v>19</v>
      </c>
      <c r="E321" t="s">
        <v>20</v>
      </c>
      <c r="F321" s="2">
        <v>475.25</v>
      </c>
      <c r="G321">
        <v>9</v>
      </c>
      <c r="H321">
        <v>3.6</v>
      </c>
      <c r="I321" t="b">
        <v>1</v>
      </c>
      <c r="J321" s="12">
        <v>46</v>
      </c>
      <c r="K321" t="s">
        <v>21</v>
      </c>
      <c r="L321" s="12" t="str">
        <f t="shared" si="8"/>
        <v>7-weeks</v>
      </c>
      <c r="M321" t="str">
        <f t="shared" si="9"/>
        <v>At Risk</v>
      </c>
    </row>
    <row r="322" spans="1:13" x14ac:dyDescent="0.35">
      <c r="A322">
        <v>421</v>
      </c>
      <c r="B322" t="s">
        <v>15</v>
      </c>
      <c r="C322">
        <v>28</v>
      </c>
      <c r="D322" t="s">
        <v>22</v>
      </c>
      <c r="E322" t="s">
        <v>13</v>
      </c>
      <c r="F322" s="2">
        <v>1480.1</v>
      </c>
      <c r="G322">
        <v>21</v>
      </c>
      <c r="H322">
        <v>4.9000000000000004</v>
      </c>
      <c r="I322" t="b">
        <v>0</v>
      </c>
      <c r="J322" s="12">
        <v>12</v>
      </c>
      <c r="K322" t="s">
        <v>14</v>
      </c>
      <c r="L322" s="12" t="str">
        <f t="shared" ref="L322:L351" si="10">_xlfn.IFS(J322&lt;=7,"1-week",J322&lt;=14,"2-weeks", J322&lt;=21,"3-weeks",J322&lt;=28,"4-weeks",J322&lt;=35,"5-weeks",J322&lt;=42,"6-weeks",J322&lt;=49,"7-weeks",J322&lt;=56,"8-weeks",J322&lt;=63,"9-weeks")</f>
        <v>2-weeks</v>
      </c>
      <c r="M322" t="str">
        <f t="shared" ref="M322:M351" si="11">IF(J322&gt;28, "At Risk", "No Risk")</f>
        <v>No Risk</v>
      </c>
    </row>
    <row r="323" spans="1:13" x14ac:dyDescent="0.35">
      <c r="A323">
        <v>422</v>
      </c>
      <c r="B323" t="s">
        <v>15</v>
      </c>
      <c r="C323">
        <v>32</v>
      </c>
      <c r="D323" t="s">
        <v>23</v>
      </c>
      <c r="E323" t="s">
        <v>17</v>
      </c>
      <c r="F323" s="2">
        <v>660.3</v>
      </c>
      <c r="G323">
        <v>10</v>
      </c>
      <c r="H323">
        <v>3.8</v>
      </c>
      <c r="I323" t="b">
        <v>1</v>
      </c>
      <c r="J323" s="12">
        <v>40</v>
      </c>
      <c r="K323" t="s">
        <v>21</v>
      </c>
      <c r="L323" s="12" t="str">
        <f t="shared" si="10"/>
        <v>6-weeks</v>
      </c>
      <c r="M323" t="str">
        <f t="shared" si="11"/>
        <v>At Risk</v>
      </c>
    </row>
    <row r="324" spans="1:13" x14ac:dyDescent="0.35">
      <c r="A324">
        <v>423</v>
      </c>
      <c r="B324" t="s">
        <v>11</v>
      </c>
      <c r="C324">
        <v>36</v>
      </c>
      <c r="D324" t="s">
        <v>24</v>
      </c>
      <c r="E324" t="s">
        <v>20</v>
      </c>
      <c r="F324" s="2">
        <v>470.5</v>
      </c>
      <c r="G324">
        <v>8</v>
      </c>
      <c r="H324">
        <v>3</v>
      </c>
      <c r="I324" t="b">
        <v>0</v>
      </c>
      <c r="J324" s="12">
        <v>26</v>
      </c>
      <c r="K324" t="s">
        <v>18</v>
      </c>
      <c r="L324" s="12" t="str">
        <f t="shared" si="10"/>
        <v>4-weeks</v>
      </c>
      <c r="M324" t="str">
        <f t="shared" si="11"/>
        <v>No Risk</v>
      </c>
    </row>
    <row r="325" spans="1:13" x14ac:dyDescent="0.35">
      <c r="A325">
        <v>424</v>
      </c>
      <c r="B325" t="s">
        <v>11</v>
      </c>
      <c r="C325">
        <v>30</v>
      </c>
      <c r="D325" t="s">
        <v>12</v>
      </c>
      <c r="E325" t="s">
        <v>13</v>
      </c>
      <c r="F325" s="2">
        <v>1190.8</v>
      </c>
      <c r="G325">
        <v>16</v>
      </c>
      <c r="H325">
        <v>4.5</v>
      </c>
      <c r="I325" t="b">
        <v>1</v>
      </c>
      <c r="J325" s="12">
        <v>27</v>
      </c>
      <c r="K325" t="s">
        <v>14</v>
      </c>
      <c r="L325" s="12" t="str">
        <f t="shared" si="10"/>
        <v>4-weeks</v>
      </c>
      <c r="M325" t="str">
        <f t="shared" si="11"/>
        <v>No Risk</v>
      </c>
    </row>
    <row r="326" spans="1:13" x14ac:dyDescent="0.35">
      <c r="A326">
        <v>425</v>
      </c>
      <c r="B326" t="s">
        <v>15</v>
      </c>
      <c r="C326">
        <v>34</v>
      </c>
      <c r="D326" t="s">
        <v>16</v>
      </c>
      <c r="E326" t="s">
        <v>17</v>
      </c>
      <c r="F326" s="2">
        <v>780.2</v>
      </c>
      <c r="G326">
        <v>11</v>
      </c>
      <c r="H326">
        <v>4.2</v>
      </c>
      <c r="I326" t="b">
        <v>0</v>
      </c>
      <c r="J326" s="12">
        <v>18</v>
      </c>
      <c r="K326" t="s">
        <v>18</v>
      </c>
      <c r="L326" s="12" t="str">
        <f t="shared" si="10"/>
        <v>3-weeks</v>
      </c>
      <c r="M326" t="str">
        <f t="shared" si="11"/>
        <v>No Risk</v>
      </c>
    </row>
    <row r="327" spans="1:13" x14ac:dyDescent="0.35">
      <c r="A327">
        <v>426</v>
      </c>
      <c r="B327" t="s">
        <v>11</v>
      </c>
      <c r="C327">
        <v>43</v>
      </c>
      <c r="D327" t="s">
        <v>19</v>
      </c>
      <c r="E327" t="s">
        <v>20</v>
      </c>
      <c r="F327" s="2">
        <v>515.75</v>
      </c>
      <c r="G327">
        <v>10</v>
      </c>
      <c r="H327">
        <v>3.3</v>
      </c>
      <c r="I327" t="b">
        <v>1</v>
      </c>
      <c r="J327" s="12">
        <v>47</v>
      </c>
      <c r="K327" t="s">
        <v>21</v>
      </c>
      <c r="L327" s="12" t="str">
        <f t="shared" si="10"/>
        <v>7-weeks</v>
      </c>
      <c r="M327" t="str">
        <f t="shared" si="11"/>
        <v>At Risk</v>
      </c>
    </row>
    <row r="328" spans="1:13" x14ac:dyDescent="0.35">
      <c r="A328">
        <v>427</v>
      </c>
      <c r="B328" t="s">
        <v>15</v>
      </c>
      <c r="C328">
        <v>30</v>
      </c>
      <c r="D328" t="s">
        <v>22</v>
      </c>
      <c r="E328" t="s">
        <v>13</v>
      </c>
      <c r="F328" s="2">
        <v>1450.5</v>
      </c>
      <c r="G328">
        <v>19</v>
      </c>
      <c r="H328">
        <v>4.5999999999999996</v>
      </c>
      <c r="I328" t="b">
        <v>0</v>
      </c>
      <c r="J328" s="12">
        <v>14</v>
      </c>
      <c r="K328" t="s">
        <v>14</v>
      </c>
      <c r="L328" s="12" t="str">
        <f t="shared" si="10"/>
        <v>2-weeks</v>
      </c>
      <c r="M328" t="str">
        <f t="shared" si="11"/>
        <v>No Risk</v>
      </c>
    </row>
    <row r="329" spans="1:13" x14ac:dyDescent="0.35">
      <c r="A329">
        <v>428</v>
      </c>
      <c r="B329" t="s">
        <v>15</v>
      </c>
      <c r="C329">
        <v>27</v>
      </c>
      <c r="D329" t="s">
        <v>23</v>
      </c>
      <c r="E329" t="s">
        <v>17</v>
      </c>
      <c r="F329" s="2">
        <v>710.4</v>
      </c>
      <c r="G329">
        <v>13</v>
      </c>
      <c r="H329">
        <v>4.0999999999999996</v>
      </c>
      <c r="I329" t="b">
        <v>1</v>
      </c>
      <c r="J329" s="12">
        <v>62</v>
      </c>
      <c r="K329" t="s">
        <v>21</v>
      </c>
      <c r="L329" s="12" t="str">
        <f t="shared" si="10"/>
        <v>9-weeks</v>
      </c>
      <c r="M329" t="str">
        <f t="shared" si="11"/>
        <v>At Risk</v>
      </c>
    </row>
    <row r="330" spans="1:13" x14ac:dyDescent="0.35">
      <c r="A330">
        <v>429</v>
      </c>
      <c r="B330" t="s">
        <v>11</v>
      </c>
      <c r="C330">
        <v>37</v>
      </c>
      <c r="D330" t="s">
        <v>24</v>
      </c>
      <c r="E330" t="s">
        <v>20</v>
      </c>
      <c r="F330" s="2">
        <v>430.8</v>
      </c>
      <c r="G330">
        <v>7</v>
      </c>
      <c r="H330">
        <v>3.4</v>
      </c>
      <c r="I330" t="b">
        <v>0</v>
      </c>
      <c r="J330" s="12">
        <v>31</v>
      </c>
      <c r="K330" t="s">
        <v>18</v>
      </c>
      <c r="L330" s="12" t="str">
        <f t="shared" si="10"/>
        <v>5-weeks</v>
      </c>
      <c r="M330" t="str">
        <f t="shared" si="11"/>
        <v>At Risk</v>
      </c>
    </row>
    <row r="331" spans="1:13" x14ac:dyDescent="0.35">
      <c r="A331">
        <v>430</v>
      </c>
      <c r="B331" t="s">
        <v>11</v>
      </c>
      <c r="C331">
        <v>31</v>
      </c>
      <c r="D331" t="s">
        <v>12</v>
      </c>
      <c r="E331" t="s">
        <v>13</v>
      </c>
      <c r="F331" s="2">
        <v>1160.5999999999999</v>
      </c>
      <c r="G331">
        <v>15</v>
      </c>
      <c r="H331">
        <v>4.5</v>
      </c>
      <c r="I331" t="b">
        <v>1</v>
      </c>
      <c r="J331" s="12">
        <v>35</v>
      </c>
      <c r="K331" t="s">
        <v>14</v>
      </c>
      <c r="L331" s="12" t="str">
        <f t="shared" si="10"/>
        <v>5-weeks</v>
      </c>
      <c r="M331" t="str">
        <f t="shared" si="11"/>
        <v>At Risk</v>
      </c>
    </row>
    <row r="332" spans="1:13" x14ac:dyDescent="0.35">
      <c r="A332">
        <v>431</v>
      </c>
      <c r="B332" t="s">
        <v>15</v>
      </c>
      <c r="C332">
        <v>35</v>
      </c>
      <c r="D332" t="s">
        <v>16</v>
      </c>
      <c r="E332" t="s">
        <v>17</v>
      </c>
      <c r="F332" s="2">
        <v>820.9</v>
      </c>
      <c r="G332">
        <v>12</v>
      </c>
      <c r="H332">
        <v>4.3</v>
      </c>
      <c r="I332" t="b">
        <v>0</v>
      </c>
      <c r="J332" s="12">
        <v>20</v>
      </c>
      <c r="K332" t="s">
        <v>18</v>
      </c>
      <c r="L332" s="12" t="str">
        <f t="shared" si="10"/>
        <v>3-weeks</v>
      </c>
      <c r="M332" t="str">
        <f t="shared" si="11"/>
        <v>No Risk</v>
      </c>
    </row>
    <row r="333" spans="1:13" x14ac:dyDescent="0.35">
      <c r="A333">
        <v>432</v>
      </c>
      <c r="B333" t="s">
        <v>11</v>
      </c>
      <c r="C333">
        <v>41</v>
      </c>
      <c r="D333" t="s">
        <v>19</v>
      </c>
      <c r="E333" t="s">
        <v>20</v>
      </c>
      <c r="F333" s="2">
        <v>495.25</v>
      </c>
      <c r="G333">
        <v>9</v>
      </c>
      <c r="H333">
        <v>3.6</v>
      </c>
      <c r="I333" t="b">
        <v>1</v>
      </c>
      <c r="J333" s="12">
        <v>47</v>
      </c>
      <c r="K333" t="s">
        <v>21</v>
      </c>
      <c r="L333" s="12" t="str">
        <f t="shared" si="10"/>
        <v>7-weeks</v>
      </c>
      <c r="M333" t="str">
        <f t="shared" si="11"/>
        <v>At Risk</v>
      </c>
    </row>
    <row r="334" spans="1:13" x14ac:dyDescent="0.35">
      <c r="A334">
        <v>433</v>
      </c>
      <c r="B334" t="s">
        <v>15</v>
      </c>
      <c r="C334">
        <v>28</v>
      </c>
      <c r="D334" t="s">
        <v>22</v>
      </c>
      <c r="E334" t="s">
        <v>13</v>
      </c>
      <c r="F334" s="2">
        <v>1490.1</v>
      </c>
      <c r="G334">
        <v>21</v>
      </c>
      <c r="H334">
        <v>4.9000000000000004</v>
      </c>
      <c r="I334" t="b">
        <v>0</v>
      </c>
      <c r="J334" s="12">
        <v>11</v>
      </c>
      <c r="K334" t="s">
        <v>14</v>
      </c>
      <c r="L334" s="12" t="str">
        <f t="shared" si="10"/>
        <v>2-weeks</v>
      </c>
      <c r="M334" t="str">
        <f t="shared" si="11"/>
        <v>No Risk</v>
      </c>
    </row>
    <row r="335" spans="1:13" x14ac:dyDescent="0.35">
      <c r="A335">
        <v>434</v>
      </c>
      <c r="B335" t="s">
        <v>15</v>
      </c>
      <c r="C335">
        <v>32</v>
      </c>
      <c r="D335" t="s">
        <v>23</v>
      </c>
      <c r="E335" t="s">
        <v>17</v>
      </c>
      <c r="F335" s="2">
        <v>660.3</v>
      </c>
      <c r="G335">
        <v>10</v>
      </c>
      <c r="H335">
        <v>3.8</v>
      </c>
      <c r="I335" t="b">
        <v>1</v>
      </c>
      <c r="J335" s="12">
        <v>41</v>
      </c>
      <c r="K335" t="s">
        <v>21</v>
      </c>
      <c r="L335" s="12" t="str">
        <f t="shared" si="10"/>
        <v>6-weeks</v>
      </c>
      <c r="M335" t="str">
        <f t="shared" si="11"/>
        <v>At Risk</v>
      </c>
    </row>
    <row r="336" spans="1:13" x14ac:dyDescent="0.35">
      <c r="A336">
        <v>435</v>
      </c>
      <c r="B336" t="s">
        <v>11</v>
      </c>
      <c r="C336">
        <v>36</v>
      </c>
      <c r="D336" t="s">
        <v>24</v>
      </c>
      <c r="E336" t="s">
        <v>20</v>
      </c>
      <c r="F336" s="2">
        <v>440.5</v>
      </c>
      <c r="G336">
        <v>8</v>
      </c>
      <c r="H336">
        <v>3.1</v>
      </c>
      <c r="I336" t="b">
        <v>0</v>
      </c>
      <c r="J336" s="12">
        <v>28</v>
      </c>
      <c r="K336" t="s">
        <v>18</v>
      </c>
      <c r="L336" s="12" t="str">
        <f t="shared" si="10"/>
        <v>4-weeks</v>
      </c>
      <c r="M336" t="str">
        <f t="shared" si="11"/>
        <v>No Risk</v>
      </c>
    </row>
    <row r="337" spans="1:13" x14ac:dyDescent="0.35">
      <c r="A337">
        <v>436</v>
      </c>
      <c r="B337" t="s">
        <v>11</v>
      </c>
      <c r="C337">
        <v>30</v>
      </c>
      <c r="D337" t="s">
        <v>12</v>
      </c>
      <c r="E337" t="s">
        <v>13</v>
      </c>
      <c r="F337" s="2">
        <v>1200.8</v>
      </c>
      <c r="G337">
        <v>16</v>
      </c>
      <c r="H337">
        <v>4.7</v>
      </c>
      <c r="I337" t="b">
        <v>1</v>
      </c>
      <c r="J337" s="12">
        <v>28</v>
      </c>
      <c r="K337" t="s">
        <v>14</v>
      </c>
      <c r="L337" s="12" t="str">
        <f t="shared" si="10"/>
        <v>4-weeks</v>
      </c>
      <c r="M337" t="str">
        <f t="shared" si="11"/>
        <v>No Risk</v>
      </c>
    </row>
    <row r="338" spans="1:13" x14ac:dyDescent="0.35">
      <c r="A338">
        <v>437</v>
      </c>
      <c r="B338" t="s">
        <v>15</v>
      </c>
      <c r="C338">
        <v>34</v>
      </c>
      <c r="D338" t="s">
        <v>16</v>
      </c>
      <c r="E338" t="s">
        <v>17</v>
      </c>
      <c r="F338" s="2">
        <v>780.2</v>
      </c>
      <c r="G338">
        <v>11</v>
      </c>
      <c r="H338">
        <v>4.0999999999999996</v>
      </c>
      <c r="I338" t="b">
        <v>0</v>
      </c>
      <c r="J338" s="12">
        <v>19</v>
      </c>
      <c r="K338" t="s">
        <v>18</v>
      </c>
      <c r="L338" s="12" t="str">
        <f t="shared" si="10"/>
        <v>3-weeks</v>
      </c>
      <c r="M338" t="str">
        <f t="shared" si="11"/>
        <v>No Risk</v>
      </c>
    </row>
    <row r="339" spans="1:13" x14ac:dyDescent="0.35">
      <c r="A339">
        <v>438</v>
      </c>
      <c r="B339" t="s">
        <v>11</v>
      </c>
      <c r="C339">
        <v>43</v>
      </c>
      <c r="D339" t="s">
        <v>19</v>
      </c>
      <c r="E339" t="s">
        <v>20</v>
      </c>
      <c r="F339" s="2">
        <v>505.75</v>
      </c>
      <c r="G339">
        <v>10</v>
      </c>
      <c r="H339">
        <v>3.3</v>
      </c>
      <c r="I339" t="b">
        <v>1</v>
      </c>
      <c r="J339" s="12">
        <v>48</v>
      </c>
      <c r="K339" t="s">
        <v>21</v>
      </c>
      <c r="L339" s="12" t="str">
        <f t="shared" si="10"/>
        <v>7-weeks</v>
      </c>
      <c r="M339" t="str">
        <f t="shared" si="11"/>
        <v>At Risk</v>
      </c>
    </row>
    <row r="340" spans="1:13" x14ac:dyDescent="0.35">
      <c r="A340">
        <v>439</v>
      </c>
      <c r="B340" t="s">
        <v>15</v>
      </c>
      <c r="C340">
        <v>30</v>
      </c>
      <c r="D340" t="s">
        <v>22</v>
      </c>
      <c r="E340" t="s">
        <v>13</v>
      </c>
      <c r="F340" s="2">
        <v>1460.5</v>
      </c>
      <c r="G340">
        <v>20</v>
      </c>
      <c r="H340">
        <v>4.8</v>
      </c>
      <c r="I340" t="b">
        <v>0</v>
      </c>
      <c r="J340" s="12">
        <v>15</v>
      </c>
      <c r="K340" t="s">
        <v>14</v>
      </c>
      <c r="L340" s="12" t="str">
        <f t="shared" si="10"/>
        <v>3-weeks</v>
      </c>
      <c r="M340" t="str">
        <f t="shared" si="11"/>
        <v>No Risk</v>
      </c>
    </row>
    <row r="341" spans="1:13" x14ac:dyDescent="0.35">
      <c r="A341">
        <v>440</v>
      </c>
      <c r="B341" t="s">
        <v>15</v>
      </c>
      <c r="C341">
        <v>27</v>
      </c>
      <c r="D341" t="s">
        <v>23</v>
      </c>
      <c r="E341" t="s">
        <v>17</v>
      </c>
      <c r="F341" s="2">
        <v>710.4</v>
      </c>
      <c r="G341">
        <v>13</v>
      </c>
      <c r="H341">
        <v>4.0999999999999996</v>
      </c>
      <c r="I341" t="b">
        <v>1</v>
      </c>
      <c r="J341" s="12">
        <v>63</v>
      </c>
      <c r="K341" t="s">
        <v>21</v>
      </c>
      <c r="L341" s="12" t="str">
        <f t="shared" si="10"/>
        <v>9-weeks</v>
      </c>
      <c r="M341" t="str">
        <f t="shared" si="11"/>
        <v>At Risk</v>
      </c>
    </row>
    <row r="342" spans="1:13" x14ac:dyDescent="0.35">
      <c r="A342">
        <v>441</v>
      </c>
      <c r="B342" t="s">
        <v>11</v>
      </c>
      <c r="C342">
        <v>37</v>
      </c>
      <c r="D342" t="s">
        <v>24</v>
      </c>
      <c r="E342" t="s">
        <v>20</v>
      </c>
      <c r="F342" s="2">
        <v>450.8</v>
      </c>
      <c r="G342">
        <v>7</v>
      </c>
      <c r="H342">
        <v>3.4</v>
      </c>
      <c r="I342" t="b">
        <v>0</v>
      </c>
      <c r="J342" s="12">
        <v>32</v>
      </c>
      <c r="K342" t="s">
        <v>18</v>
      </c>
      <c r="L342" s="12" t="str">
        <f t="shared" si="10"/>
        <v>5-weeks</v>
      </c>
      <c r="M342" t="str">
        <f t="shared" si="11"/>
        <v>At Risk</v>
      </c>
    </row>
    <row r="343" spans="1:13" x14ac:dyDescent="0.35">
      <c r="A343">
        <v>442</v>
      </c>
      <c r="B343" t="s">
        <v>11</v>
      </c>
      <c r="C343">
        <v>31</v>
      </c>
      <c r="D343" t="s">
        <v>12</v>
      </c>
      <c r="E343" t="s">
        <v>13</v>
      </c>
      <c r="F343" s="2">
        <v>1140.5999999999999</v>
      </c>
      <c r="G343">
        <v>15</v>
      </c>
      <c r="H343">
        <v>4.5</v>
      </c>
      <c r="I343" t="b">
        <v>1</v>
      </c>
      <c r="J343" s="12">
        <v>36</v>
      </c>
      <c r="K343" t="s">
        <v>14</v>
      </c>
      <c r="L343" s="12" t="str">
        <f t="shared" si="10"/>
        <v>6-weeks</v>
      </c>
      <c r="M343" t="str">
        <f t="shared" si="11"/>
        <v>At Risk</v>
      </c>
    </row>
    <row r="344" spans="1:13" x14ac:dyDescent="0.35">
      <c r="A344">
        <v>443</v>
      </c>
      <c r="B344" t="s">
        <v>15</v>
      </c>
      <c r="C344">
        <v>35</v>
      </c>
      <c r="D344" t="s">
        <v>16</v>
      </c>
      <c r="E344" t="s">
        <v>17</v>
      </c>
      <c r="F344" s="2">
        <v>800.9</v>
      </c>
      <c r="G344">
        <v>12</v>
      </c>
      <c r="H344">
        <v>4.0999999999999996</v>
      </c>
      <c r="I344" t="b">
        <v>0</v>
      </c>
      <c r="J344" s="12">
        <v>20</v>
      </c>
      <c r="K344" t="s">
        <v>18</v>
      </c>
      <c r="L344" s="12" t="str">
        <f t="shared" si="10"/>
        <v>3-weeks</v>
      </c>
      <c r="M344" t="str">
        <f t="shared" si="11"/>
        <v>No Risk</v>
      </c>
    </row>
    <row r="345" spans="1:13" x14ac:dyDescent="0.35">
      <c r="A345">
        <v>444</v>
      </c>
      <c r="B345" t="s">
        <v>11</v>
      </c>
      <c r="C345">
        <v>41</v>
      </c>
      <c r="D345" t="s">
        <v>19</v>
      </c>
      <c r="E345" t="s">
        <v>20</v>
      </c>
      <c r="F345" s="2">
        <v>475.25</v>
      </c>
      <c r="G345">
        <v>9</v>
      </c>
      <c r="H345">
        <v>3.6</v>
      </c>
      <c r="I345" t="b">
        <v>1</v>
      </c>
      <c r="J345" s="12">
        <v>48</v>
      </c>
      <c r="K345" t="s">
        <v>21</v>
      </c>
      <c r="L345" s="12" t="str">
        <f t="shared" si="10"/>
        <v>7-weeks</v>
      </c>
      <c r="M345" t="str">
        <f t="shared" si="11"/>
        <v>At Risk</v>
      </c>
    </row>
    <row r="346" spans="1:13" x14ac:dyDescent="0.35">
      <c r="A346">
        <v>445</v>
      </c>
      <c r="B346" t="s">
        <v>15</v>
      </c>
      <c r="C346">
        <v>28</v>
      </c>
      <c r="D346" t="s">
        <v>22</v>
      </c>
      <c r="E346" t="s">
        <v>13</v>
      </c>
      <c r="F346" s="2">
        <v>1480.1</v>
      </c>
      <c r="G346">
        <v>21</v>
      </c>
      <c r="H346">
        <v>4.9000000000000004</v>
      </c>
      <c r="I346" t="b">
        <v>0</v>
      </c>
      <c r="J346" s="12">
        <v>13</v>
      </c>
      <c r="K346" t="s">
        <v>14</v>
      </c>
      <c r="L346" s="12" t="str">
        <f t="shared" si="10"/>
        <v>2-weeks</v>
      </c>
      <c r="M346" t="str">
        <f t="shared" si="11"/>
        <v>No Risk</v>
      </c>
    </row>
    <row r="347" spans="1:13" x14ac:dyDescent="0.35">
      <c r="A347">
        <v>446</v>
      </c>
      <c r="B347" t="s">
        <v>15</v>
      </c>
      <c r="C347">
        <v>32</v>
      </c>
      <c r="D347" t="s">
        <v>23</v>
      </c>
      <c r="E347" t="s">
        <v>17</v>
      </c>
      <c r="F347" s="2">
        <v>660.3</v>
      </c>
      <c r="G347">
        <v>10</v>
      </c>
      <c r="H347">
        <v>3.8</v>
      </c>
      <c r="I347" t="b">
        <v>1</v>
      </c>
      <c r="J347" s="12">
        <v>42</v>
      </c>
      <c r="K347" t="s">
        <v>21</v>
      </c>
      <c r="L347" s="12" t="str">
        <f t="shared" si="10"/>
        <v>6-weeks</v>
      </c>
      <c r="M347" t="str">
        <f t="shared" si="11"/>
        <v>At Risk</v>
      </c>
    </row>
    <row r="348" spans="1:13" x14ac:dyDescent="0.35">
      <c r="A348">
        <v>447</v>
      </c>
      <c r="B348" t="s">
        <v>11</v>
      </c>
      <c r="C348">
        <v>36</v>
      </c>
      <c r="D348" t="s">
        <v>24</v>
      </c>
      <c r="E348" t="s">
        <v>20</v>
      </c>
      <c r="F348" s="2">
        <v>470.5</v>
      </c>
      <c r="G348">
        <v>8</v>
      </c>
      <c r="H348">
        <v>3</v>
      </c>
      <c r="I348" t="b">
        <v>0</v>
      </c>
      <c r="J348" s="12">
        <v>27</v>
      </c>
      <c r="K348" t="s">
        <v>18</v>
      </c>
      <c r="L348" s="12" t="str">
        <f t="shared" si="10"/>
        <v>4-weeks</v>
      </c>
      <c r="M348" t="str">
        <f t="shared" si="11"/>
        <v>No Risk</v>
      </c>
    </row>
    <row r="349" spans="1:13" x14ac:dyDescent="0.35">
      <c r="A349">
        <v>448</v>
      </c>
      <c r="B349" t="s">
        <v>11</v>
      </c>
      <c r="C349">
        <v>30</v>
      </c>
      <c r="D349" t="s">
        <v>12</v>
      </c>
      <c r="E349" t="s">
        <v>13</v>
      </c>
      <c r="F349" s="2">
        <v>1190.8</v>
      </c>
      <c r="G349">
        <v>16</v>
      </c>
      <c r="H349">
        <v>4.5</v>
      </c>
      <c r="I349" t="b">
        <v>1</v>
      </c>
      <c r="J349" s="12">
        <v>28</v>
      </c>
      <c r="K349" t="s">
        <v>14</v>
      </c>
      <c r="L349" s="12" t="str">
        <f t="shared" si="10"/>
        <v>4-weeks</v>
      </c>
      <c r="M349" t="str">
        <f t="shared" si="11"/>
        <v>No Risk</v>
      </c>
    </row>
    <row r="350" spans="1:13" x14ac:dyDescent="0.35">
      <c r="A350">
        <v>449</v>
      </c>
      <c r="B350" t="s">
        <v>15</v>
      </c>
      <c r="C350">
        <v>34</v>
      </c>
      <c r="D350" t="s">
        <v>16</v>
      </c>
      <c r="E350" t="s">
        <v>17</v>
      </c>
      <c r="F350" s="2">
        <v>780.2</v>
      </c>
      <c r="G350">
        <v>11</v>
      </c>
      <c r="H350">
        <v>4.2</v>
      </c>
      <c r="I350" t="b">
        <v>0</v>
      </c>
      <c r="J350" s="12">
        <v>21</v>
      </c>
      <c r="K350" t="s">
        <v>18</v>
      </c>
      <c r="L350" s="12" t="str">
        <f t="shared" si="10"/>
        <v>3-weeks</v>
      </c>
      <c r="M350" t="str">
        <f t="shared" si="11"/>
        <v>No Risk</v>
      </c>
    </row>
    <row r="351" spans="1:13" x14ac:dyDescent="0.35">
      <c r="A351">
        <v>450</v>
      </c>
      <c r="B351" t="s">
        <v>11</v>
      </c>
      <c r="C351">
        <v>43</v>
      </c>
      <c r="D351" t="s">
        <v>19</v>
      </c>
      <c r="E351" t="s">
        <v>20</v>
      </c>
      <c r="F351" s="2">
        <v>515.75</v>
      </c>
      <c r="G351">
        <v>10</v>
      </c>
      <c r="H351">
        <v>3.3</v>
      </c>
      <c r="I351" t="b">
        <v>1</v>
      </c>
      <c r="J351" s="12">
        <v>49</v>
      </c>
      <c r="K351" t="s">
        <v>21</v>
      </c>
      <c r="L351" s="12" t="str">
        <f t="shared" si="10"/>
        <v>7-weeks</v>
      </c>
      <c r="M351" t="str">
        <f t="shared" si="11"/>
        <v>At Risk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1"/>
  <sheetViews>
    <sheetView workbookViewId="0"/>
  </sheetViews>
  <sheetFormatPr defaultRowHeight="14.5" x14ac:dyDescent="0.35"/>
  <cols>
    <col min="1" max="1" width="13.26953125" customWidth="1"/>
    <col min="2" max="2" width="9" customWidth="1"/>
    <col min="5" max="5" width="17.90625" customWidth="1"/>
    <col min="6" max="6" width="12.7265625" style="2" customWidth="1"/>
    <col min="7" max="7" width="16.7265625" customWidth="1"/>
    <col min="8" max="8" width="15.26953125" customWidth="1"/>
    <col min="9" max="9" width="17" customWidth="1"/>
    <col min="10" max="10" width="23.453125" style="12" customWidth="1"/>
    <col min="11" max="11" width="17.1796875" customWidth="1"/>
    <col min="12" max="12" width="22.08984375" style="12" customWidth="1"/>
    <col min="13" max="13" width="12.7265625" customWidth="1"/>
  </cols>
  <sheetData>
    <row r="1" spans="1:13" x14ac:dyDescent="0.35">
      <c r="A1" t="s">
        <v>0</v>
      </c>
      <c r="B1" t="s">
        <v>1</v>
      </c>
      <c r="C1" t="s">
        <v>2</v>
      </c>
      <c r="D1" t="s">
        <v>3</v>
      </c>
      <c r="E1" t="s">
        <v>4</v>
      </c>
      <c r="F1" s="2" t="s">
        <v>5</v>
      </c>
      <c r="G1" t="s">
        <v>6</v>
      </c>
      <c r="H1" t="s">
        <v>7</v>
      </c>
      <c r="I1" t="s">
        <v>8</v>
      </c>
      <c r="J1" s="12" t="s">
        <v>9</v>
      </c>
      <c r="K1" t="s">
        <v>10</v>
      </c>
      <c r="L1" s="12" t="s">
        <v>49</v>
      </c>
      <c r="M1" t="s">
        <v>52</v>
      </c>
    </row>
    <row r="2" spans="1:13" x14ac:dyDescent="0.35">
      <c r="A2">
        <v>101</v>
      </c>
      <c r="B2" t="s">
        <v>11</v>
      </c>
      <c r="C2">
        <v>29</v>
      </c>
      <c r="D2" t="s">
        <v>12</v>
      </c>
      <c r="E2" t="s">
        <v>13</v>
      </c>
      <c r="F2" s="2">
        <v>1120.2</v>
      </c>
      <c r="G2">
        <v>14</v>
      </c>
      <c r="H2">
        <v>4.5999999999999996</v>
      </c>
      <c r="I2" t="b">
        <v>1</v>
      </c>
      <c r="J2" s="12">
        <v>25</v>
      </c>
      <c r="K2" t="s">
        <v>14</v>
      </c>
      <c r="L2" s="12" t="str">
        <f t="shared" ref="L2:L65" si="0">_xlfn.IFS(J2&lt;=7,"1-week",J2&lt;=14,"2-weeks", J2&lt;=21,"3-weeks",J2&lt;=28,"4-weeks",J2&lt;=35,"5-weeks",J2&lt;=42,"6-weeks",J2&lt;=49,"7-weeks",J2&lt;=56,"8-weeks",J2&lt;=63,"9-weeks")</f>
        <v>4-weeks</v>
      </c>
      <c r="M2" t="str">
        <f t="shared" ref="M2:M65" si="1">IF(J2&gt;28, "At Risk", "No Risk")</f>
        <v>No Risk</v>
      </c>
    </row>
    <row r="3" spans="1:13" x14ac:dyDescent="0.35">
      <c r="A3">
        <v>102</v>
      </c>
      <c r="B3" t="s">
        <v>15</v>
      </c>
      <c r="C3">
        <v>34</v>
      </c>
      <c r="D3" t="s">
        <v>16</v>
      </c>
      <c r="E3" t="s">
        <v>17</v>
      </c>
      <c r="F3" s="2">
        <v>780.5</v>
      </c>
      <c r="G3">
        <v>11</v>
      </c>
      <c r="H3">
        <v>4.0999999999999996</v>
      </c>
      <c r="I3" t="b">
        <v>0</v>
      </c>
      <c r="J3" s="12">
        <v>18</v>
      </c>
      <c r="K3" t="s">
        <v>18</v>
      </c>
      <c r="L3" s="12" t="str">
        <f t="shared" si="0"/>
        <v>3-weeks</v>
      </c>
      <c r="M3" t="str">
        <f t="shared" si="1"/>
        <v>No Risk</v>
      </c>
    </row>
    <row r="4" spans="1:13" x14ac:dyDescent="0.35">
      <c r="A4">
        <v>103</v>
      </c>
      <c r="B4" t="s">
        <v>11</v>
      </c>
      <c r="C4">
        <v>43</v>
      </c>
      <c r="D4" t="s">
        <v>19</v>
      </c>
      <c r="E4" t="s">
        <v>20</v>
      </c>
      <c r="F4" s="2">
        <v>510.75</v>
      </c>
      <c r="G4">
        <v>9</v>
      </c>
      <c r="H4">
        <v>3.4</v>
      </c>
      <c r="I4" t="b">
        <v>1</v>
      </c>
      <c r="J4" s="12">
        <v>42</v>
      </c>
      <c r="K4" t="s">
        <v>21</v>
      </c>
      <c r="L4" s="12" t="str">
        <f t="shared" si="0"/>
        <v>6-weeks</v>
      </c>
      <c r="M4" t="str">
        <f t="shared" si="1"/>
        <v>At Risk</v>
      </c>
    </row>
    <row r="5" spans="1:13" x14ac:dyDescent="0.35">
      <c r="A5">
        <v>104</v>
      </c>
      <c r="B5" t="s">
        <v>15</v>
      </c>
      <c r="C5">
        <v>30</v>
      </c>
      <c r="D5" t="s">
        <v>22</v>
      </c>
      <c r="E5" t="s">
        <v>13</v>
      </c>
      <c r="F5" s="2">
        <v>1480.3</v>
      </c>
      <c r="G5">
        <v>19</v>
      </c>
      <c r="H5">
        <v>4.7</v>
      </c>
      <c r="I5" t="b">
        <v>0</v>
      </c>
      <c r="J5" s="12">
        <v>12</v>
      </c>
      <c r="K5" t="s">
        <v>14</v>
      </c>
      <c r="L5" s="12" t="str">
        <f t="shared" si="0"/>
        <v>2-weeks</v>
      </c>
      <c r="M5" t="str">
        <f t="shared" si="1"/>
        <v>No Risk</v>
      </c>
    </row>
    <row r="6" spans="1:13" x14ac:dyDescent="0.35">
      <c r="A6">
        <v>105</v>
      </c>
      <c r="B6" t="s">
        <v>15</v>
      </c>
      <c r="C6">
        <v>27</v>
      </c>
      <c r="D6" t="s">
        <v>23</v>
      </c>
      <c r="E6" t="s">
        <v>17</v>
      </c>
      <c r="F6" s="2">
        <v>720.4</v>
      </c>
      <c r="G6">
        <v>13</v>
      </c>
      <c r="H6">
        <v>4</v>
      </c>
      <c r="I6" t="b">
        <v>1</v>
      </c>
      <c r="J6" s="12">
        <v>55</v>
      </c>
      <c r="K6" t="s">
        <v>21</v>
      </c>
      <c r="L6" s="12" t="str">
        <f t="shared" si="0"/>
        <v>8-weeks</v>
      </c>
      <c r="M6" t="str">
        <f t="shared" si="1"/>
        <v>At Risk</v>
      </c>
    </row>
    <row r="7" spans="1:13" x14ac:dyDescent="0.35">
      <c r="A7">
        <v>106</v>
      </c>
      <c r="B7" t="s">
        <v>11</v>
      </c>
      <c r="C7">
        <v>37</v>
      </c>
      <c r="D7" t="s">
        <v>24</v>
      </c>
      <c r="E7" t="s">
        <v>20</v>
      </c>
      <c r="F7" s="2">
        <v>440.8</v>
      </c>
      <c r="G7">
        <v>8</v>
      </c>
      <c r="H7">
        <v>3.1</v>
      </c>
      <c r="I7" t="b">
        <v>0</v>
      </c>
      <c r="J7" s="12">
        <v>22</v>
      </c>
      <c r="K7" t="s">
        <v>18</v>
      </c>
      <c r="L7" s="12" t="str">
        <f t="shared" si="0"/>
        <v>4-weeks</v>
      </c>
      <c r="M7" t="str">
        <f t="shared" si="1"/>
        <v>No Risk</v>
      </c>
    </row>
    <row r="8" spans="1:13" x14ac:dyDescent="0.35">
      <c r="A8">
        <v>107</v>
      </c>
      <c r="B8" t="s">
        <v>11</v>
      </c>
      <c r="C8">
        <v>31</v>
      </c>
      <c r="D8" t="s">
        <v>12</v>
      </c>
      <c r="E8" t="s">
        <v>13</v>
      </c>
      <c r="F8" s="2">
        <v>1150.5999999999999</v>
      </c>
      <c r="G8">
        <v>15</v>
      </c>
      <c r="H8">
        <v>4.5</v>
      </c>
      <c r="I8" t="b">
        <v>1</v>
      </c>
      <c r="J8" s="12">
        <v>28</v>
      </c>
      <c r="K8" t="s">
        <v>14</v>
      </c>
      <c r="L8" s="12" t="str">
        <f t="shared" si="0"/>
        <v>4-weeks</v>
      </c>
      <c r="M8" t="str">
        <f t="shared" si="1"/>
        <v>No Risk</v>
      </c>
    </row>
    <row r="9" spans="1:13" x14ac:dyDescent="0.35">
      <c r="A9">
        <v>108</v>
      </c>
      <c r="B9" t="s">
        <v>15</v>
      </c>
      <c r="C9">
        <v>35</v>
      </c>
      <c r="D9" t="s">
        <v>16</v>
      </c>
      <c r="E9" t="s">
        <v>17</v>
      </c>
      <c r="F9" s="2">
        <v>800.9</v>
      </c>
      <c r="G9">
        <v>12</v>
      </c>
      <c r="H9">
        <v>4.2</v>
      </c>
      <c r="I9" t="b">
        <v>0</v>
      </c>
      <c r="J9" s="12">
        <v>14</v>
      </c>
      <c r="K9" t="s">
        <v>18</v>
      </c>
      <c r="L9" s="12" t="str">
        <f t="shared" si="0"/>
        <v>2-weeks</v>
      </c>
      <c r="M9" t="str">
        <f t="shared" si="1"/>
        <v>No Risk</v>
      </c>
    </row>
    <row r="10" spans="1:13" x14ac:dyDescent="0.35">
      <c r="A10">
        <v>109</v>
      </c>
      <c r="B10" t="s">
        <v>11</v>
      </c>
      <c r="C10">
        <v>41</v>
      </c>
      <c r="D10" t="s">
        <v>19</v>
      </c>
      <c r="E10" t="s">
        <v>20</v>
      </c>
      <c r="F10" s="2">
        <v>495.25</v>
      </c>
      <c r="G10">
        <v>10</v>
      </c>
      <c r="H10">
        <v>3.6</v>
      </c>
      <c r="I10" t="b">
        <v>1</v>
      </c>
      <c r="J10" s="12">
        <v>40</v>
      </c>
      <c r="K10" t="s">
        <v>21</v>
      </c>
      <c r="L10" s="12" t="str">
        <f t="shared" si="0"/>
        <v>6-weeks</v>
      </c>
      <c r="M10" t="str">
        <f t="shared" si="1"/>
        <v>At Risk</v>
      </c>
    </row>
    <row r="11" spans="1:13" x14ac:dyDescent="0.35">
      <c r="A11">
        <v>110</v>
      </c>
      <c r="B11" t="s">
        <v>15</v>
      </c>
      <c r="C11">
        <v>28</v>
      </c>
      <c r="D11" t="s">
        <v>22</v>
      </c>
      <c r="E11" t="s">
        <v>13</v>
      </c>
      <c r="F11" s="2">
        <v>1520.1</v>
      </c>
      <c r="G11">
        <v>21</v>
      </c>
      <c r="H11">
        <v>4.8</v>
      </c>
      <c r="I11" t="b">
        <v>0</v>
      </c>
      <c r="J11" s="12">
        <v>9</v>
      </c>
      <c r="K11" t="s">
        <v>14</v>
      </c>
      <c r="L11" s="12" t="str">
        <f t="shared" si="0"/>
        <v>2-weeks</v>
      </c>
      <c r="M11" t="str">
        <f t="shared" si="1"/>
        <v>No Risk</v>
      </c>
    </row>
    <row r="12" spans="1:13" x14ac:dyDescent="0.35">
      <c r="A12">
        <v>111</v>
      </c>
      <c r="B12" t="s">
        <v>15</v>
      </c>
      <c r="C12">
        <v>32</v>
      </c>
      <c r="D12" t="s">
        <v>23</v>
      </c>
      <c r="E12" t="s">
        <v>17</v>
      </c>
      <c r="F12" s="2">
        <v>690.3</v>
      </c>
      <c r="G12">
        <v>11</v>
      </c>
      <c r="H12">
        <v>3.8</v>
      </c>
      <c r="I12" t="b">
        <v>1</v>
      </c>
      <c r="J12" s="12">
        <v>34</v>
      </c>
      <c r="K12" t="s">
        <v>21</v>
      </c>
      <c r="L12" s="12" t="str">
        <f t="shared" si="0"/>
        <v>5-weeks</v>
      </c>
      <c r="M12" t="str">
        <f t="shared" si="1"/>
        <v>At Risk</v>
      </c>
    </row>
    <row r="13" spans="1:13" x14ac:dyDescent="0.35">
      <c r="A13">
        <v>112</v>
      </c>
      <c r="B13" t="s">
        <v>11</v>
      </c>
      <c r="C13">
        <v>36</v>
      </c>
      <c r="D13" t="s">
        <v>24</v>
      </c>
      <c r="E13" t="s">
        <v>20</v>
      </c>
      <c r="F13" s="2">
        <v>470.5</v>
      </c>
      <c r="G13">
        <v>7</v>
      </c>
      <c r="H13">
        <v>3.2</v>
      </c>
      <c r="I13" t="b">
        <v>0</v>
      </c>
      <c r="J13" s="12">
        <v>20</v>
      </c>
      <c r="K13" t="s">
        <v>18</v>
      </c>
      <c r="L13" s="12" t="str">
        <f t="shared" si="0"/>
        <v>3-weeks</v>
      </c>
      <c r="M13" t="str">
        <f t="shared" si="1"/>
        <v>No Risk</v>
      </c>
    </row>
    <row r="14" spans="1:13" x14ac:dyDescent="0.35">
      <c r="A14">
        <v>113</v>
      </c>
      <c r="B14" t="s">
        <v>11</v>
      </c>
      <c r="C14">
        <v>30</v>
      </c>
      <c r="D14" t="s">
        <v>12</v>
      </c>
      <c r="E14" t="s">
        <v>13</v>
      </c>
      <c r="F14" s="2">
        <v>1200.8</v>
      </c>
      <c r="G14">
        <v>16</v>
      </c>
      <c r="H14">
        <v>4.3</v>
      </c>
      <c r="I14" t="b">
        <v>1</v>
      </c>
      <c r="J14" s="12">
        <v>21</v>
      </c>
      <c r="K14" t="s">
        <v>14</v>
      </c>
      <c r="L14" s="12" t="str">
        <f t="shared" si="0"/>
        <v>3-weeks</v>
      </c>
      <c r="M14" t="str">
        <f t="shared" si="1"/>
        <v>No Risk</v>
      </c>
    </row>
    <row r="15" spans="1:13" x14ac:dyDescent="0.35">
      <c r="A15">
        <v>114</v>
      </c>
      <c r="B15" t="s">
        <v>15</v>
      </c>
      <c r="C15">
        <v>33</v>
      </c>
      <c r="D15" t="s">
        <v>16</v>
      </c>
      <c r="E15" t="s">
        <v>17</v>
      </c>
      <c r="F15" s="2">
        <v>820.75</v>
      </c>
      <c r="G15">
        <v>13</v>
      </c>
      <c r="H15">
        <v>4.4000000000000004</v>
      </c>
      <c r="I15" t="b">
        <v>0</v>
      </c>
      <c r="J15" s="12">
        <v>15</v>
      </c>
      <c r="K15" t="s">
        <v>14</v>
      </c>
      <c r="L15" s="12" t="str">
        <f t="shared" si="0"/>
        <v>3-weeks</v>
      </c>
      <c r="M15" t="str">
        <f t="shared" si="1"/>
        <v>No Risk</v>
      </c>
    </row>
    <row r="16" spans="1:13" x14ac:dyDescent="0.35">
      <c r="A16">
        <v>115</v>
      </c>
      <c r="B16" t="s">
        <v>11</v>
      </c>
      <c r="C16">
        <v>42</v>
      </c>
      <c r="D16" t="s">
        <v>19</v>
      </c>
      <c r="E16" t="s">
        <v>20</v>
      </c>
      <c r="F16" s="2">
        <v>530.4</v>
      </c>
      <c r="G16">
        <v>9</v>
      </c>
      <c r="H16">
        <v>3.5</v>
      </c>
      <c r="I16" t="b">
        <v>1</v>
      </c>
      <c r="J16" s="12">
        <v>38</v>
      </c>
      <c r="K16" t="s">
        <v>21</v>
      </c>
      <c r="L16" s="12" t="str">
        <f t="shared" si="0"/>
        <v>6-weeks</v>
      </c>
      <c r="M16" t="str">
        <f t="shared" si="1"/>
        <v>At Risk</v>
      </c>
    </row>
    <row r="17" spans="1:13" x14ac:dyDescent="0.35">
      <c r="A17">
        <v>116</v>
      </c>
      <c r="B17" t="s">
        <v>15</v>
      </c>
      <c r="C17">
        <v>29</v>
      </c>
      <c r="D17" t="s">
        <v>22</v>
      </c>
      <c r="E17" t="s">
        <v>13</v>
      </c>
      <c r="F17" s="2">
        <v>1360.2</v>
      </c>
      <c r="G17">
        <v>18</v>
      </c>
      <c r="H17">
        <v>4.9000000000000004</v>
      </c>
      <c r="I17" t="b">
        <v>0</v>
      </c>
      <c r="J17" s="12">
        <v>11</v>
      </c>
      <c r="K17" t="s">
        <v>14</v>
      </c>
      <c r="L17" s="12" t="str">
        <f t="shared" si="0"/>
        <v>2-weeks</v>
      </c>
      <c r="M17" t="str">
        <f t="shared" si="1"/>
        <v>No Risk</v>
      </c>
    </row>
    <row r="18" spans="1:13" x14ac:dyDescent="0.35">
      <c r="A18">
        <v>117</v>
      </c>
      <c r="B18" t="s">
        <v>15</v>
      </c>
      <c r="C18">
        <v>26</v>
      </c>
      <c r="D18" t="s">
        <v>23</v>
      </c>
      <c r="E18" t="s">
        <v>17</v>
      </c>
      <c r="F18" s="2">
        <v>700.6</v>
      </c>
      <c r="G18">
        <v>12</v>
      </c>
      <c r="H18">
        <v>3.7</v>
      </c>
      <c r="I18" t="b">
        <v>1</v>
      </c>
      <c r="J18" s="12">
        <v>48</v>
      </c>
      <c r="K18" t="s">
        <v>21</v>
      </c>
      <c r="L18" s="12" t="str">
        <f t="shared" si="0"/>
        <v>7-weeks</v>
      </c>
      <c r="M18" t="str">
        <f t="shared" si="1"/>
        <v>At Risk</v>
      </c>
    </row>
    <row r="19" spans="1:13" x14ac:dyDescent="0.35">
      <c r="A19">
        <v>118</v>
      </c>
      <c r="B19" t="s">
        <v>11</v>
      </c>
      <c r="C19">
        <v>38</v>
      </c>
      <c r="D19" t="s">
        <v>24</v>
      </c>
      <c r="E19" t="s">
        <v>20</v>
      </c>
      <c r="F19" s="2">
        <v>450.9</v>
      </c>
      <c r="G19">
        <v>8</v>
      </c>
      <c r="H19">
        <v>3</v>
      </c>
      <c r="I19" t="b">
        <v>0</v>
      </c>
      <c r="J19" s="12">
        <v>25</v>
      </c>
      <c r="K19" t="s">
        <v>18</v>
      </c>
      <c r="L19" s="12" t="str">
        <f t="shared" si="0"/>
        <v>4-weeks</v>
      </c>
      <c r="M19" t="str">
        <f t="shared" si="1"/>
        <v>No Risk</v>
      </c>
    </row>
    <row r="20" spans="1:13" x14ac:dyDescent="0.35">
      <c r="A20">
        <v>119</v>
      </c>
      <c r="B20" t="s">
        <v>11</v>
      </c>
      <c r="C20">
        <v>32</v>
      </c>
      <c r="D20" t="s">
        <v>12</v>
      </c>
      <c r="E20" t="s">
        <v>13</v>
      </c>
      <c r="F20" s="2">
        <v>1170.3</v>
      </c>
      <c r="G20">
        <v>14</v>
      </c>
      <c r="H20">
        <v>4.7</v>
      </c>
      <c r="I20" t="b">
        <v>1</v>
      </c>
      <c r="J20" s="12">
        <v>29</v>
      </c>
      <c r="K20" t="s">
        <v>14</v>
      </c>
      <c r="L20" s="12" t="str">
        <f t="shared" si="0"/>
        <v>5-weeks</v>
      </c>
      <c r="M20" t="str">
        <f t="shared" si="1"/>
        <v>At Risk</v>
      </c>
    </row>
    <row r="21" spans="1:13" x14ac:dyDescent="0.35">
      <c r="A21">
        <v>120</v>
      </c>
      <c r="B21" t="s">
        <v>15</v>
      </c>
      <c r="C21">
        <v>34</v>
      </c>
      <c r="D21" t="s">
        <v>16</v>
      </c>
      <c r="E21" t="s">
        <v>17</v>
      </c>
      <c r="F21" s="2">
        <v>790.2</v>
      </c>
      <c r="G21">
        <v>11</v>
      </c>
      <c r="H21">
        <v>4</v>
      </c>
      <c r="I21" t="b">
        <v>0</v>
      </c>
      <c r="J21" s="12">
        <v>16</v>
      </c>
      <c r="K21" t="s">
        <v>18</v>
      </c>
      <c r="L21" s="12" t="str">
        <f t="shared" si="0"/>
        <v>3-weeks</v>
      </c>
      <c r="M21" t="str">
        <f t="shared" si="1"/>
        <v>No Risk</v>
      </c>
    </row>
    <row r="22" spans="1:13" x14ac:dyDescent="0.35">
      <c r="A22">
        <v>121</v>
      </c>
      <c r="B22" t="s">
        <v>11</v>
      </c>
      <c r="C22">
        <v>43</v>
      </c>
      <c r="D22" t="s">
        <v>19</v>
      </c>
      <c r="E22" t="s">
        <v>20</v>
      </c>
      <c r="F22" s="2">
        <v>505.75</v>
      </c>
      <c r="G22">
        <v>10</v>
      </c>
      <c r="H22">
        <v>3.3</v>
      </c>
      <c r="I22" t="b">
        <v>1</v>
      </c>
      <c r="J22" s="12">
        <v>41</v>
      </c>
      <c r="K22" t="s">
        <v>21</v>
      </c>
      <c r="L22" s="12" t="str">
        <f t="shared" si="0"/>
        <v>6-weeks</v>
      </c>
      <c r="M22" t="str">
        <f t="shared" si="1"/>
        <v>At Risk</v>
      </c>
    </row>
    <row r="23" spans="1:13" x14ac:dyDescent="0.35">
      <c r="A23">
        <v>122</v>
      </c>
      <c r="B23" t="s">
        <v>15</v>
      </c>
      <c r="C23">
        <v>30</v>
      </c>
      <c r="D23" t="s">
        <v>22</v>
      </c>
      <c r="E23" t="s">
        <v>13</v>
      </c>
      <c r="F23" s="2">
        <v>1470.5</v>
      </c>
      <c r="G23">
        <v>20</v>
      </c>
      <c r="H23">
        <v>4.8</v>
      </c>
      <c r="I23" t="b">
        <v>0</v>
      </c>
      <c r="J23" s="12">
        <v>13</v>
      </c>
      <c r="K23" t="s">
        <v>14</v>
      </c>
      <c r="L23" s="12" t="str">
        <f t="shared" si="0"/>
        <v>2-weeks</v>
      </c>
      <c r="M23" t="str">
        <f t="shared" si="1"/>
        <v>No Risk</v>
      </c>
    </row>
    <row r="24" spans="1:13" x14ac:dyDescent="0.35">
      <c r="A24">
        <v>123</v>
      </c>
      <c r="B24" t="s">
        <v>15</v>
      </c>
      <c r="C24">
        <v>27</v>
      </c>
      <c r="D24" t="s">
        <v>23</v>
      </c>
      <c r="E24" t="s">
        <v>17</v>
      </c>
      <c r="F24" s="2">
        <v>710.4</v>
      </c>
      <c r="G24">
        <v>13</v>
      </c>
      <c r="H24">
        <v>4.0999999999999996</v>
      </c>
      <c r="I24" t="b">
        <v>1</v>
      </c>
      <c r="J24" s="12">
        <v>54</v>
      </c>
      <c r="K24" t="s">
        <v>21</v>
      </c>
      <c r="L24" s="12" t="str">
        <f t="shared" si="0"/>
        <v>8-weeks</v>
      </c>
      <c r="M24" t="str">
        <f t="shared" si="1"/>
        <v>At Risk</v>
      </c>
    </row>
    <row r="25" spans="1:13" x14ac:dyDescent="0.35">
      <c r="A25">
        <v>124</v>
      </c>
      <c r="B25" t="s">
        <v>11</v>
      </c>
      <c r="C25">
        <v>37</v>
      </c>
      <c r="D25" t="s">
        <v>24</v>
      </c>
      <c r="E25" t="s">
        <v>20</v>
      </c>
      <c r="F25" s="2">
        <v>430.8</v>
      </c>
      <c r="G25">
        <v>7</v>
      </c>
      <c r="H25">
        <v>3.4</v>
      </c>
      <c r="I25" t="b">
        <v>0</v>
      </c>
      <c r="J25" s="12">
        <v>23</v>
      </c>
      <c r="K25" t="s">
        <v>18</v>
      </c>
      <c r="L25" s="12" t="str">
        <f t="shared" si="0"/>
        <v>4-weeks</v>
      </c>
      <c r="M25" t="str">
        <f t="shared" si="1"/>
        <v>No Risk</v>
      </c>
    </row>
    <row r="26" spans="1:13" x14ac:dyDescent="0.35">
      <c r="A26">
        <v>125</v>
      </c>
      <c r="B26" t="s">
        <v>11</v>
      </c>
      <c r="C26">
        <v>31</v>
      </c>
      <c r="D26" t="s">
        <v>12</v>
      </c>
      <c r="E26" t="s">
        <v>13</v>
      </c>
      <c r="F26" s="2">
        <v>1140.5999999999999</v>
      </c>
      <c r="G26">
        <v>15</v>
      </c>
      <c r="H26">
        <v>4.5999999999999996</v>
      </c>
      <c r="I26" t="b">
        <v>1</v>
      </c>
      <c r="J26" s="12">
        <v>27</v>
      </c>
      <c r="K26" t="s">
        <v>14</v>
      </c>
      <c r="L26" s="12" t="str">
        <f t="shared" si="0"/>
        <v>4-weeks</v>
      </c>
      <c r="M26" t="str">
        <f t="shared" si="1"/>
        <v>No Risk</v>
      </c>
    </row>
    <row r="27" spans="1:13" x14ac:dyDescent="0.35">
      <c r="A27">
        <v>126</v>
      </c>
      <c r="B27" t="s">
        <v>15</v>
      </c>
      <c r="C27">
        <v>35</v>
      </c>
      <c r="D27" t="s">
        <v>16</v>
      </c>
      <c r="E27" t="s">
        <v>17</v>
      </c>
      <c r="F27" s="2">
        <v>810.9</v>
      </c>
      <c r="G27">
        <v>12</v>
      </c>
      <c r="H27">
        <v>4.3</v>
      </c>
      <c r="I27" t="b">
        <v>0</v>
      </c>
      <c r="J27" s="12">
        <v>13</v>
      </c>
      <c r="K27" t="s">
        <v>18</v>
      </c>
      <c r="L27" s="12" t="str">
        <f t="shared" si="0"/>
        <v>2-weeks</v>
      </c>
      <c r="M27" t="str">
        <f t="shared" si="1"/>
        <v>No Risk</v>
      </c>
    </row>
    <row r="28" spans="1:13" x14ac:dyDescent="0.35">
      <c r="A28">
        <v>127</v>
      </c>
      <c r="B28" t="s">
        <v>11</v>
      </c>
      <c r="C28">
        <v>41</v>
      </c>
      <c r="D28" t="s">
        <v>19</v>
      </c>
      <c r="E28" t="s">
        <v>20</v>
      </c>
      <c r="F28" s="2">
        <v>485.25</v>
      </c>
      <c r="G28">
        <v>9</v>
      </c>
      <c r="H28">
        <v>3.6</v>
      </c>
      <c r="I28" t="b">
        <v>1</v>
      </c>
      <c r="J28" s="12">
        <v>39</v>
      </c>
      <c r="K28" t="s">
        <v>21</v>
      </c>
      <c r="L28" s="12" t="str">
        <f t="shared" si="0"/>
        <v>6-weeks</v>
      </c>
      <c r="M28" t="str">
        <f t="shared" si="1"/>
        <v>At Risk</v>
      </c>
    </row>
    <row r="29" spans="1:13" x14ac:dyDescent="0.35">
      <c r="A29">
        <v>128</v>
      </c>
      <c r="B29" t="s">
        <v>15</v>
      </c>
      <c r="C29">
        <v>28</v>
      </c>
      <c r="D29" t="s">
        <v>22</v>
      </c>
      <c r="E29" t="s">
        <v>13</v>
      </c>
      <c r="F29" s="2">
        <v>1500.1</v>
      </c>
      <c r="G29">
        <v>21</v>
      </c>
      <c r="H29">
        <v>4.9000000000000004</v>
      </c>
      <c r="I29" t="b">
        <v>0</v>
      </c>
      <c r="J29" s="12">
        <v>10</v>
      </c>
      <c r="K29" t="s">
        <v>14</v>
      </c>
      <c r="L29" s="12" t="str">
        <f t="shared" si="0"/>
        <v>2-weeks</v>
      </c>
      <c r="M29" t="str">
        <f t="shared" si="1"/>
        <v>No Risk</v>
      </c>
    </row>
    <row r="30" spans="1:13" x14ac:dyDescent="0.35">
      <c r="A30">
        <v>129</v>
      </c>
      <c r="B30" t="s">
        <v>15</v>
      </c>
      <c r="C30">
        <v>32</v>
      </c>
      <c r="D30" t="s">
        <v>23</v>
      </c>
      <c r="E30" t="s">
        <v>17</v>
      </c>
      <c r="F30" s="2">
        <v>670.3</v>
      </c>
      <c r="G30">
        <v>10</v>
      </c>
      <c r="H30">
        <v>3.8</v>
      </c>
      <c r="I30" t="b">
        <v>1</v>
      </c>
      <c r="J30" s="12">
        <v>33</v>
      </c>
      <c r="K30" t="s">
        <v>21</v>
      </c>
      <c r="L30" s="12" t="str">
        <f t="shared" si="0"/>
        <v>5-weeks</v>
      </c>
      <c r="M30" t="str">
        <f t="shared" si="1"/>
        <v>At Risk</v>
      </c>
    </row>
    <row r="31" spans="1:13" x14ac:dyDescent="0.35">
      <c r="A31">
        <v>130</v>
      </c>
      <c r="B31" t="s">
        <v>11</v>
      </c>
      <c r="C31">
        <v>36</v>
      </c>
      <c r="D31" t="s">
        <v>24</v>
      </c>
      <c r="E31" t="s">
        <v>20</v>
      </c>
      <c r="F31" s="2">
        <v>460.5</v>
      </c>
      <c r="G31">
        <v>8</v>
      </c>
      <c r="H31">
        <v>3.1</v>
      </c>
      <c r="I31" t="b">
        <v>0</v>
      </c>
      <c r="J31" s="12">
        <v>19</v>
      </c>
      <c r="K31" t="s">
        <v>18</v>
      </c>
      <c r="L31" s="12" t="str">
        <f t="shared" si="0"/>
        <v>3-weeks</v>
      </c>
      <c r="M31" t="str">
        <f t="shared" si="1"/>
        <v>No Risk</v>
      </c>
    </row>
    <row r="32" spans="1:13" x14ac:dyDescent="0.35">
      <c r="A32">
        <v>131</v>
      </c>
      <c r="B32" t="s">
        <v>11</v>
      </c>
      <c r="C32">
        <v>30</v>
      </c>
      <c r="D32" t="s">
        <v>12</v>
      </c>
      <c r="E32" t="s">
        <v>13</v>
      </c>
      <c r="F32" s="2">
        <v>1190.8</v>
      </c>
      <c r="G32">
        <v>16</v>
      </c>
      <c r="H32">
        <v>4.5</v>
      </c>
      <c r="I32" t="b">
        <v>1</v>
      </c>
      <c r="J32" s="12">
        <v>20</v>
      </c>
      <c r="K32" t="s">
        <v>14</v>
      </c>
      <c r="L32" s="12" t="str">
        <f t="shared" si="0"/>
        <v>3-weeks</v>
      </c>
      <c r="M32" t="str">
        <f t="shared" si="1"/>
        <v>No Risk</v>
      </c>
    </row>
    <row r="33" spans="1:13" x14ac:dyDescent="0.35">
      <c r="A33">
        <v>132</v>
      </c>
      <c r="B33" t="s">
        <v>15</v>
      </c>
      <c r="C33">
        <v>33</v>
      </c>
      <c r="D33" t="s">
        <v>16</v>
      </c>
      <c r="E33" t="s">
        <v>17</v>
      </c>
      <c r="F33" s="2">
        <v>830.75</v>
      </c>
      <c r="G33">
        <v>13</v>
      </c>
      <c r="H33">
        <v>4.2</v>
      </c>
      <c r="I33" t="b">
        <v>0</v>
      </c>
      <c r="J33" s="12">
        <v>14</v>
      </c>
      <c r="K33" t="s">
        <v>14</v>
      </c>
      <c r="L33" s="12" t="str">
        <f t="shared" si="0"/>
        <v>2-weeks</v>
      </c>
      <c r="M33" t="str">
        <f t="shared" si="1"/>
        <v>No Risk</v>
      </c>
    </row>
    <row r="34" spans="1:13" x14ac:dyDescent="0.35">
      <c r="A34">
        <v>133</v>
      </c>
      <c r="B34" t="s">
        <v>11</v>
      </c>
      <c r="C34">
        <v>42</v>
      </c>
      <c r="D34" t="s">
        <v>19</v>
      </c>
      <c r="E34" t="s">
        <v>20</v>
      </c>
      <c r="F34" s="2">
        <v>520.4</v>
      </c>
      <c r="G34">
        <v>9</v>
      </c>
      <c r="H34">
        <v>3.5</v>
      </c>
      <c r="I34" t="b">
        <v>1</v>
      </c>
      <c r="J34" s="12">
        <v>37</v>
      </c>
      <c r="K34" t="s">
        <v>21</v>
      </c>
      <c r="L34" s="12" t="str">
        <f t="shared" si="0"/>
        <v>6-weeks</v>
      </c>
      <c r="M34" t="str">
        <f t="shared" si="1"/>
        <v>At Risk</v>
      </c>
    </row>
    <row r="35" spans="1:13" x14ac:dyDescent="0.35">
      <c r="A35">
        <v>134</v>
      </c>
      <c r="B35" t="s">
        <v>15</v>
      </c>
      <c r="C35">
        <v>29</v>
      </c>
      <c r="D35" t="s">
        <v>22</v>
      </c>
      <c r="E35" t="s">
        <v>13</v>
      </c>
      <c r="F35" s="2">
        <v>1370.2</v>
      </c>
      <c r="G35">
        <v>18</v>
      </c>
      <c r="H35">
        <v>4.7</v>
      </c>
      <c r="I35" t="b">
        <v>0</v>
      </c>
      <c r="J35" s="12">
        <v>10</v>
      </c>
      <c r="K35" t="s">
        <v>14</v>
      </c>
      <c r="L35" s="12" t="str">
        <f t="shared" si="0"/>
        <v>2-weeks</v>
      </c>
      <c r="M35" t="str">
        <f t="shared" si="1"/>
        <v>No Risk</v>
      </c>
    </row>
    <row r="36" spans="1:13" x14ac:dyDescent="0.35">
      <c r="A36">
        <v>135</v>
      </c>
      <c r="B36" t="s">
        <v>15</v>
      </c>
      <c r="C36">
        <v>26</v>
      </c>
      <c r="D36" t="s">
        <v>23</v>
      </c>
      <c r="E36" t="s">
        <v>17</v>
      </c>
      <c r="F36" s="2">
        <v>690.6</v>
      </c>
      <c r="G36">
        <v>12</v>
      </c>
      <c r="H36">
        <v>3.9</v>
      </c>
      <c r="I36" t="b">
        <v>1</v>
      </c>
      <c r="J36" s="12">
        <v>47</v>
      </c>
      <c r="K36" t="s">
        <v>21</v>
      </c>
      <c r="L36" s="12" t="str">
        <f t="shared" si="0"/>
        <v>7-weeks</v>
      </c>
      <c r="M36" t="str">
        <f t="shared" si="1"/>
        <v>At Risk</v>
      </c>
    </row>
    <row r="37" spans="1:13" x14ac:dyDescent="0.35">
      <c r="A37">
        <v>136</v>
      </c>
      <c r="B37" t="s">
        <v>11</v>
      </c>
      <c r="C37">
        <v>38</v>
      </c>
      <c r="D37" t="s">
        <v>24</v>
      </c>
      <c r="E37" t="s">
        <v>20</v>
      </c>
      <c r="F37" s="2">
        <v>440.9</v>
      </c>
      <c r="G37">
        <v>8</v>
      </c>
      <c r="H37">
        <v>3.2</v>
      </c>
      <c r="I37" t="b">
        <v>0</v>
      </c>
      <c r="J37" s="12">
        <v>24</v>
      </c>
      <c r="K37" t="s">
        <v>18</v>
      </c>
      <c r="L37" s="12" t="str">
        <f t="shared" si="0"/>
        <v>4-weeks</v>
      </c>
      <c r="M37" t="str">
        <f t="shared" si="1"/>
        <v>No Risk</v>
      </c>
    </row>
    <row r="38" spans="1:13" x14ac:dyDescent="0.35">
      <c r="A38">
        <v>137</v>
      </c>
      <c r="B38" t="s">
        <v>11</v>
      </c>
      <c r="C38">
        <v>32</v>
      </c>
      <c r="D38" t="s">
        <v>12</v>
      </c>
      <c r="E38" t="s">
        <v>13</v>
      </c>
      <c r="F38" s="2">
        <v>1160.3</v>
      </c>
      <c r="G38">
        <v>14</v>
      </c>
      <c r="H38">
        <v>4.4000000000000004</v>
      </c>
      <c r="I38" t="b">
        <v>1</v>
      </c>
      <c r="J38" s="12">
        <v>22</v>
      </c>
      <c r="K38" t="s">
        <v>14</v>
      </c>
      <c r="L38" s="12" t="str">
        <f t="shared" si="0"/>
        <v>4-weeks</v>
      </c>
      <c r="M38" t="str">
        <f t="shared" si="1"/>
        <v>No Risk</v>
      </c>
    </row>
    <row r="39" spans="1:13" x14ac:dyDescent="0.35">
      <c r="A39">
        <v>138</v>
      </c>
      <c r="B39" t="s">
        <v>15</v>
      </c>
      <c r="C39">
        <v>34</v>
      </c>
      <c r="D39" t="s">
        <v>16</v>
      </c>
      <c r="E39" t="s">
        <v>17</v>
      </c>
      <c r="F39" s="2">
        <v>800.2</v>
      </c>
      <c r="G39">
        <v>11</v>
      </c>
      <c r="H39">
        <v>4.0999999999999996</v>
      </c>
      <c r="I39" t="b">
        <v>0</v>
      </c>
      <c r="J39" s="12">
        <v>17</v>
      </c>
      <c r="K39" t="s">
        <v>18</v>
      </c>
      <c r="L39" s="12" t="str">
        <f t="shared" si="0"/>
        <v>3-weeks</v>
      </c>
      <c r="M39" t="str">
        <f t="shared" si="1"/>
        <v>No Risk</v>
      </c>
    </row>
    <row r="40" spans="1:13" x14ac:dyDescent="0.35">
      <c r="A40">
        <v>139</v>
      </c>
      <c r="B40" t="s">
        <v>11</v>
      </c>
      <c r="C40">
        <v>43</v>
      </c>
      <c r="D40" t="s">
        <v>19</v>
      </c>
      <c r="E40" t="s">
        <v>20</v>
      </c>
      <c r="F40" s="2">
        <v>500.75</v>
      </c>
      <c r="G40">
        <v>10</v>
      </c>
      <c r="H40">
        <v>3.3</v>
      </c>
      <c r="I40" t="b">
        <v>1</v>
      </c>
      <c r="J40" s="12">
        <v>40</v>
      </c>
      <c r="K40" t="s">
        <v>21</v>
      </c>
      <c r="L40" s="12" t="str">
        <f t="shared" si="0"/>
        <v>6-weeks</v>
      </c>
      <c r="M40" t="str">
        <f t="shared" si="1"/>
        <v>At Risk</v>
      </c>
    </row>
    <row r="41" spans="1:13" x14ac:dyDescent="0.35">
      <c r="A41">
        <v>140</v>
      </c>
      <c r="B41" t="s">
        <v>15</v>
      </c>
      <c r="C41">
        <v>30</v>
      </c>
      <c r="D41" t="s">
        <v>22</v>
      </c>
      <c r="E41" t="s">
        <v>13</v>
      </c>
      <c r="F41" s="2">
        <v>1460.5</v>
      </c>
      <c r="G41">
        <v>20</v>
      </c>
      <c r="H41">
        <v>4.8</v>
      </c>
      <c r="I41" t="b">
        <v>0</v>
      </c>
      <c r="J41" s="12">
        <v>12</v>
      </c>
      <c r="K41" t="s">
        <v>14</v>
      </c>
      <c r="L41" s="12" t="str">
        <f t="shared" si="0"/>
        <v>2-weeks</v>
      </c>
      <c r="M41" t="str">
        <f t="shared" si="1"/>
        <v>No Risk</v>
      </c>
    </row>
    <row r="42" spans="1:13" x14ac:dyDescent="0.35">
      <c r="A42">
        <v>141</v>
      </c>
      <c r="B42" t="s">
        <v>15</v>
      </c>
      <c r="C42">
        <v>27</v>
      </c>
      <c r="D42" t="s">
        <v>23</v>
      </c>
      <c r="E42" t="s">
        <v>17</v>
      </c>
      <c r="F42" s="2">
        <v>700.4</v>
      </c>
      <c r="G42">
        <v>13</v>
      </c>
      <c r="H42">
        <v>4</v>
      </c>
      <c r="I42" t="b">
        <v>1</v>
      </c>
      <c r="J42" s="12">
        <v>53</v>
      </c>
      <c r="K42" t="s">
        <v>21</v>
      </c>
      <c r="L42" s="12" t="str">
        <f t="shared" si="0"/>
        <v>8-weeks</v>
      </c>
      <c r="M42" t="str">
        <f t="shared" si="1"/>
        <v>At Risk</v>
      </c>
    </row>
    <row r="43" spans="1:13" x14ac:dyDescent="0.35">
      <c r="A43">
        <v>142</v>
      </c>
      <c r="B43" t="s">
        <v>11</v>
      </c>
      <c r="C43">
        <v>37</v>
      </c>
      <c r="D43" t="s">
        <v>24</v>
      </c>
      <c r="E43" t="s">
        <v>20</v>
      </c>
      <c r="F43" s="2">
        <v>420.8</v>
      </c>
      <c r="G43">
        <v>7</v>
      </c>
      <c r="H43">
        <v>3.1</v>
      </c>
      <c r="I43" t="b">
        <v>0</v>
      </c>
      <c r="J43" s="12">
        <v>21</v>
      </c>
      <c r="K43" t="s">
        <v>18</v>
      </c>
      <c r="L43" s="12" t="str">
        <f t="shared" si="0"/>
        <v>3-weeks</v>
      </c>
      <c r="M43" t="str">
        <f t="shared" si="1"/>
        <v>No Risk</v>
      </c>
    </row>
    <row r="44" spans="1:13" x14ac:dyDescent="0.35">
      <c r="A44">
        <v>143</v>
      </c>
      <c r="B44" t="s">
        <v>11</v>
      </c>
      <c r="C44">
        <v>31</v>
      </c>
      <c r="D44" t="s">
        <v>12</v>
      </c>
      <c r="E44" t="s">
        <v>13</v>
      </c>
      <c r="F44" s="2">
        <v>1130.5999999999999</v>
      </c>
      <c r="G44">
        <v>15</v>
      </c>
      <c r="H44">
        <v>4.5</v>
      </c>
      <c r="I44" t="b">
        <v>1</v>
      </c>
      <c r="J44" s="12">
        <v>26</v>
      </c>
      <c r="K44" t="s">
        <v>14</v>
      </c>
      <c r="L44" s="12" t="str">
        <f t="shared" si="0"/>
        <v>4-weeks</v>
      </c>
      <c r="M44" t="str">
        <f t="shared" si="1"/>
        <v>No Risk</v>
      </c>
    </row>
    <row r="45" spans="1:13" x14ac:dyDescent="0.35">
      <c r="A45">
        <v>144</v>
      </c>
      <c r="B45" t="s">
        <v>15</v>
      </c>
      <c r="C45">
        <v>35</v>
      </c>
      <c r="D45" t="s">
        <v>16</v>
      </c>
      <c r="E45" t="s">
        <v>17</v>
      </c>
      <c r="F45" s="2">
        <v>820.9</v>
      </c>
      <c r="G45">
        <v>12</v>
      </c>
      <c r="H45">
        <v>4.3</v>
      </c>
      <c r="I45" t="b">
        <v>0</v>
      </c>
      <c r="J45" s="12">
        <v>12</v>
      </c>
      <c r="K45" t="s">
        <v>18</v>
      </c>
      <c r="L45" s="12" t="str">
        <f t="shared" si="0"/>
        <v>2-weeks</v>
      </c>
      <c r="M45" t="str">
        <f t="shared" si="1"/>
        <v>No Risk</v>
      </c>
    </row>
    <row r="46" spans="1:13" x14ac:dyDescent="0.35">
      <c r="A46">
        <v>145</v>
      </c>
      <c r="B46" t="s">
        <v>11</v>
      </c>
      <c r="C46">
        <v>41</v>
      </c>
      <c r="D46" t="s">
        <v>19</v>
      </c>
      <c r="E46" t="s">
        <v>20</v>
      </c>
      <c r="F46" s="2">
        <v>480.25</v>
      </c>
      <c r="G46">
        <v>9</v>
      </c>
      <c r="H46">
        <v>3.6</v>
      </c>
      <c r="I46" t="b">
        <v>1</v>
      </c>
      <c r="J46" s="12">
        <v>38</v>
      </c>
      <c r="K46" t="s">
        <v>21</v>
      </c>
      <c r="L46" s="12" t="str">
        <f t="shared" si="0"/>
        <v>6-weeks</v>
      </c>
      <c r="M46" t="str">
        <f t="shared" si="1"/>
        <v>At Risk</v>
      </c>
    </row>
    <row r="47" spans="1:13" x14ac:dyDescent="0.35">
      <c r="A47">
        <v>146</v>
      </c>
      <c r="B47" t="s">
        <v>15</v>
      </c>
      <c r="C47">
        <v>28</v>
      </c>
      <c r="D47" t="s">
        <v>22</v>
      </c>
      <c r="E47" t="s">
        <v>13</v>
      </c>
      <c r="F47" s="2">
        <v>1490.1</v>
      </c>
      <c r="G47">
        <v>21</v>
      </c>
      <c r="H47">
        <v>4.9000000000000004</v>
      </c>
      <c r="I47" t="b">
        <v>0</v>
      </c>
      <c r="J47" s="12">
        <v>9</v>
      </c>
      <c r="K47" t="s">
        <v>14</v>
      </c>
      <c r="L47" s="12" t="str">
        <f t="shared" si="0"/>
        <v>2-weeks</v>
      </c>
      <c r="M47" t="str">
        <f t="shared" si="1"/>
        <v>No Risk</v>
      </c>
    </row>
    <row r="48" spans="1:13" x14ac:dyDescent="0.35">
      <c r="A48">
        <v>147</v>
      </c>
      <c r="B48" t="s">
        <v>15</v>
      </c>
      <c r="C48">
        <v>32</v>
      </c>
      <c r="D48" t="s">
        <v>23</v>
      </c>
      <c r="E48" t="s">
        <v>17</v>
      </c>
      <c r="F48" s="2">
        <v>680.3</v>
      </c>
      <c r="G48">
        <v>10</v>
      </c>
      <c r="H48">
        <v>3.8</v>
      </c>
      <c r="I48" t="b">
        <v>1</v>
      </c>
      <c r="J48" s="12">
        <v>32</v>
      </c>
      <c r="K48" t="s">
        <v>21</v>
      </c>
      <c r="L48" s="12" t="str">
        <f t="shared" si="0"/>
        <v>5-weeks</v>
      </c>
      <c r="M48" t="str">
        <f t="shared" si="1"/>
        <v>At Risk</v>
      </c>
    </row>
    <row r="49" spans="1:13" x14ac:dyDescent="0.35">
      <c r="A49">
        <v>148</v>
      </c>
      <c r="B49" t="s">
        <v>11</v>
      </c>
      <c r="C49">
        <v>36</v>
      </c>
      <c r="D49" t="s">
        <v>24</v>
      </c>
      <c r="E49" t="s">
        <v>20</v>
      </c>
      <c r="F49" s="2">
        <v>470.5</v>
      </c>
      <c r="G49">
        <v>8</v>
      </c>
      <c r="H49">
        <v>3</v>
      </c>
      <c r="I49" t="b">
        <v>0</v>
      </c>
      <c r="J49" s="12">
        <v>18</v>
      </c>
      <c r="K49" t="s">
        <v>18</v>
      </c>
      <c r="L49" s="12" t="str">
        <f t="shared" si="0"/>
        <v>3-weeks</v>
      </c>
      <c r="M49" t="str">
        <f t="shared" si="1"/>
        <v>No Risk</v>
      </c>
    </row>
    <row r="50" spans="1:13" x14ac:dyDescent="0.35">
      <c r="A50">
        <v>149</v>
      </c>
      <c r="B50" t="s">
        <v>11</v>
      </c>
      <c r="C50">
        <v>30</v>
      </c>
      <c r="D50" t="s">
        <v>12</v>
      </c>
      <c r="E50" t="s">
        <v>13</v>
      </c>
      <c r="F50" s="2">
        <v>1180.8</v>
      </c>
      <c r="G50">
        <v>16</v>
      </c>
      <c r="H50">
        <v>4.7</v>
      </c>
      <c r="I50" t="b">
        <v>1</v>
      </c>
      <c r="J50" s="12">
        <v>19</v>
      </c>
      <c r="K50" t="s">
        <v>14</v>
      </c>
      <c r="L50" s="12" t="str">
        <f t="shared" si="0"/>
        <v>3-weeks</v>
      </c>
      <c r="M50" t="str">
        <f t="shared" si="1"/>
        <v>No Risk</v>
      </c>
    </row>
    <row r="51" spans="1:13" x14ac:dyDescent="0.35">
      <c r="A51">
        <v>150</v>
      </c>
      <c r="B51" t="s">
        <v>15</v>
      </c>
      <c r="C51">
        <v>34</v>
      </c>
      <c r="D51" t="s">
        <v>16</v>
      </c>
      <c r="E51" t="s">
        <v>17</v>
      </c>
      <c r="F51" s="2">
        <v>790.2</v>
      </c>
      <c r="G51">
        <v>11</v>
      </c>
      <c r="H51">
        <v>4</v>
      </c>
      <c r="I51" t="b">
        <v>0</v>
      </c>
      <c r="J51" s="12">
        <v>15</v>
      </c>
      <c r="K51" t="s">
        <v>18</v>
      </c>
      <c r="L51" s="12" t="str">
        <f t="shared" si="0"/>
        <v>3-weeks</v>
      </c>
      <c r="M51" t="str">
        <f t="shared" si="1"/>
        <v>No Risk</v>
      </c>
    </row>
    <row r="52" spans="1:13" x14ac:dyDescent="0.35">
      <c r="A52">
        <v>151</v>
      </c>
      <c r="B52" t="s">
        <v>11</v>
      </c>
      <c r="C52">
        <v>43</v>
      </c>
      <c r="D52" t="s">
        <v>19</v>
      </c>
      <c r="E52" t="s">
        <v>20</v>
      </c>
      <c r="F52" s="2">
        <v>505.75</v>
      </c>
      <c r="G52">
        <v>10</v>
      </c>
      <c r="H52">
        <v>3.3</v>
      </c>
      <c r="I52" t="b">
        <v>1</v>
      </c>
      <c r="J52" s="12">
        <v>39</v>
      </c>
      <c r="K52" t="s">
        <v>21</v>
      </c>
      <c r="L52" s="12" t="str">
        <f t="shared" si="0"/>
        <v>6-weeks</v>
      </c>
      <c r="M52" t="str">
        <f t="shared" si="1"/>
        <v>At Risk</v>
      </c>
    </row>
    <row r="53" spans="1:13" x14ac:dyDescent="0.35">
      <c r="A53">
        <v>152</v>
      </c>
      <c r="B53" t="s">
        <v>15</v>
      </c>
      <c r="C53">
        <v>30</v>
      </c>
      <c r="D53" t="s">
        <v>22</v>
      </c>
      <c r="E53" t="s">
        <v>13</v>
      </c>
      <c r="F53" s="2">
        <v>1470.5</v>
      </c>
      <c r="G53">
        <v>20</v>
      </c>
      <c r="H53">
        <v>4.8</v>
      </c>
      <c r="I53" t="b">
        <v>0</v>
      </c>
      <c r="J53" s="12">
        <v>13</v>
      </c>
      <c r="K53" t="s">
        <v>14</v>
      </c>
      <c r="L53" s="12" t="str">
        <f t="shared" si="0"/>
        <v>2-weeks</v>
      </c>
      <c r="M53" t="str">
        <f t="shared" si="1"/>
        <v>No Risk</v>
      </c>
    </row>
    <row r="54" spans="1:13" x14ac:dyDescent="0.35">
      <c r="A54">
        <v>153</v>
      </c>
      <c r="B54" t="s">
        <v>15</v>
      </c>
      <c r="C54">
        <v>27</v>
      </c>
      <c r="D54" t="s">
        <v>23</v>
      </c>
      <c r="E54" t="s">
        <v>17</v>
      </c>
      <c r="F54" s="2">
        <v>710.4</v>
      </c>
      <c r="G54">
        <v>13</v>
      </c>
      <c r="H54">
        <v>4.0999999999999996</v>
      </c>
      <c r="I54" t="b">
        <v>1</v>
      </c>
      <c r="J54" s="12">
        <v>54</v>
      </c>
      <c r="K54" t="s">
        <v>21</v>
      </c>
      <c r="L54" s="12" t="str">
        <f t="shared" si="0"/>
        <v>8-weeks</v>
      </c>
      <c r="M54" t="str">
        <f t="shared" si="1"/>
        <v>At Risk</v>
      </c>
    </row>
    <row r="55" spans="1:13" x14ac:dyDescent="0.35">
      <c r="A55">
        <v>154</v>
      </c>
      <c r="B55" t="s">
        <v>11</v>
      </c>
      <c r="C55">
        <v>37</v>
      </c>
      <c r="D55" t="s">
        <v>24</v>
      </c>
      <c r="E55" t="s">
        <v>20</v>
      </c>
      <c r="F55" s="2">
        <v>430.8</v>
      </c>
      <c r="G55">
        <v>7</v>
      </c>
      <c r="H55">
        <v>3.4</v>
      </c>
      <c r="I55" t="b">
        <v>0</v>
      </c>
      <c r="J55" s="12">
        <v>23</v>
      </c>
      <c r="K55" t="s">
        <v>18</v>
      </c>
      <c r="L55" s="12" t="str">
        <f t="shared" si="0"/>
        <v>4-weeks</v>
      </c>
      <c r="M55" t="str">
        <f t="shared" si="1"/>
        <v>No Risk</v>
      </c>
    </row>
    <row r="56" spans="1:13" x14ac:dyDescent="0.35">
      <c r="A56">
        <v>155</v>
      </c>
      <c r="B56" t="s">
        <v>11</v>
      </c>
      <c r="C56">
        <v>31</v>
      </c>
      <c r="D56" t="s">
        <v>12</v>
      </c>
      <c r="E56" t="s">
        <v>13</v>
      </c>
      <c r="F56" s="2">
        <v>1140.5999999999999</v>
      </c>
      <c r="G56">
        <v>15</v>
      </c>
      <c r="H56">
        <v>4.5999999999999996</v>
      </c>
      <c r="I56" t="b">
        <v>1</v>
      </c>
      <c r="J56" s="12">
        <v>27</v>
      </c>
      <c r="K56" t="s">
        <v>14</v>
      </c>
      <c r="L56" s="12" t="str">
        <f t="shared" si="0"/>
        <v>4-weeks</v>
      </c>
      <c r="M56" t="str">
        <f t="shared" si="1"/>
        <v>No Risk</v>
      </c>
    </row>
    <row r="57" spans="1:13" x14ac:dyDescent="0.35">
      <c r="A57">
        <v>156</v>
      </c>
      <c r="B57" t="s">
        <v>15</v>
      </c>
      <c r="C57">
        <v>35</v>
      </c>
      <c r="D57" t="s">
        <v>16</v>
      </c>
      <c r="E57" t="s">
        <v>17</v>
      </c>
      <c r="F57" s="2">
        <v>810.9</v>
      </c>
      <c r="G57">
        <v>12</v>
      </c>
      <c r="H57">
        <v>4.3</v>
      </c>
      <c r="I57" t="b">
        <v>0</v>
      </c>
      <c r="J57" s="12">
        <v>13</v>
      </c>
      <c r="K57" t="s">
        <v>18</v>
      </c>
      <c r="L57" s="12" t="str">
        <f t="shared" si="0"/>
        <v>2-weeks</v>
      </c>
      <c r="M57" t="str">
        <f t="shared" si="1"/>
        <v>No Risk</v>
      </c>
    </row>
    <row r="58" spans="1:13" x14ac:dyDescent="0.35">
      <c r="A58">
        <v>157</v>
      </c>
      <c r="B58" t="s">
        <v>11</v>
      </c>
      <c r="C58">
        <v>41</v>
      </c>
      <c r="D58" t="s">
        <v>19</v>
      </c>
      <c r="E58" t="s">
        <v>20</v>
      </c>
      <c r="F58" s="2">
        <v>485.25</v>
      </c>
      <c r="G58">
        <v>9</v>
      </c>
      <c r="H58">
        <v>3.6</v>
      </c>
      <c r="I58" t="b">
        <v>1</v>
      </c>
      <c r="J58" s="12">
        <v>39</v>
      </c>
      <c r="K58" t="s">
        <v>21</v>
      </c>
      <c r="L58" s="12" t="str">
        <f t="shared" si="0"/>
        <v>6-weeks</v>
      </c>
      <c r="M58" t="str">
        <f t="shared" si="1"/>
        <v>At Risk</v>
      </c>
    </row>
    <row r="59" spans="1:13" x14ac:dyDescent="0.35">
      <c r="A59">
        <v>158</v>
      </c>
      <c r="B59" t="s">
        <v>15</v>
      </c>
      <c r="C59">
        <v>28</v>
      </c>
      <c r="D59" t="s">
        <v>22</v>
      </c>
      <c r="E59" t="s">
        <v>13</v>
      </c>
      <c r="F59" s="2">
        <v>1500.1</v>
      </c>
      <c r="G59">
        <v>21</v>
      </c>
      <c r="H59">
        <v>4.9000000000000004</v>
      </c>
      <c r="I59" t="b">
        <v>0</v>
      </c>
      <c r="J59" s="12">
        <v>10</v>
      </c>
      <c r="K59" t="s">
        <v>14</v>
      </c>
      <c r="L59" s="12" t="str">
        <f t="shared" si="0"/>
        <v>2-weeks</v>
      </c>
      <c r="M59" t="str">
        <f t="shared" si="1"/>
        <v>No Risk</v>
      </c>
    </row>
    <row r="60" spans="1:13" x14ac:dyDescent="0.35">
      <c r="A60">
        <v>159</v>
      </c>
      <c r="B60" t="s">
        <v>15</v>
      </c>
      <c r="C60">
        <v>32</v>
      </c>
      <c r="D60" t="s">
        <v>23</v>
      </c>
      <c r="E60" t="s">
        <v>17</v>
      </c>
      <c r="F60" s="2">
        <v>670.3</v>
      </c>
      <c r="G60">
        <v>10</v>
      </c>
      <c r="H60">
        <v>3.8</v>
      </c>
      <c r="I60" t="b">
        <v>1</v>
      </c>
      <c r="J60" s="12">
        <v>33</v>
      </c>
      <c r="K60" t="s">
        <v>21</v>
      </c>
      <c r="L60" s="12" t="str">
        <f t="shared" si="0"/>
        <v>5-weeks</v>
      </c>
      <c r="M60" t="str">
        <f t="shared" si="1"/>
        <v>At Risk</v>
      </c>
    </row>
    <row r="61" spans="1:13" x14ac:dyDescent="0.35">
      <c r="A61">
        <v>160</v>
      </c>
      <c r="B61" t="s">
        <v>11</v>
      </c>
      <c r="C61">
        <v>36</v>
      </c>
      <c r="D61" t="s">
        <v>24</v>
      </c>
      <c r="E61" t="s">
        <v>20</v>
      </c>
      <c r="F61" s="2">
        <v>460.5</v>
      </c>
      <c r="G61">
        <v>8</v>
      </c>
      <c r="H61">
        <v>3.1</v>
      </c>
      <c r="I61" t="b">
        <v>0</v>
      </c>
      <c r="J61" s="12">
        <v>19</v>
      </c>
      <c r="K61" t="s">
        <v>18</v>
      </c>
      <c r="L61" s="12" t="str">
        <f t="shared" si="0"/>
        <v>3-weeks</v>
      </c>
      <c r="M61" t="str">
        <f t="shared" si="1"/>
        <v>No Risk</v>
      </c>
    </row>
    <row r="62" spans="1:13" x14ac:dyDescent="0.35">
      <c r="A62">
        <v>161</v>
      </c>
      <c r="B62" t="s">
        <v>11</v>
      </c>
      <c r="C62">
        <v>30</v>
      </c>
      <c r="D62" t="s">
        <v>12</v>
      </c>
      <c r="E62" t="s">
        <v>13</v>
      </c>
      <c r="F62" s="2">
        <v>1190.8</v>
      </c>
      <c r="G62">
        <v>16</v>
      </c>
      <c r="H62">
        <v>4.5</v>
      </c>
      <c r="I62" t="b">
        <v>1</v>
      </c>
      <c r="J62" s="12">
        <v>20</v>
      </c>
      <c r="K62" t="s">
        <v>14</v>
      </c>
      <c r="L62" s="12" t="str">
        <f t="shared" si="0"/>
        <v>3-weeks</v>
      </c>
      <c r="M62" t="str">
        <f t="shared" si="1"/>
        <v>No Risk</v>
      </c>
    </row>
    <row r="63" spans="1:13" x14ac:dyDescent="0.35">
      <c r="A63">
        <v>162</v>
      </c>
      <c r="B63" t="s">
        <v>15</v>
      </c>
      <c r="C63">
        <v>33</v>
      </c>
      <c r="D63" t="s">
        <v>16</v>
      </c>
      <c r="E63" t="s">
        <v>17</v>
      </c>
      <c r="F63" s="2">
        <v>830.75</v>
      </c>
      <c r="G63">
        <v>13</v>
      </c>
      <c r="H63">
        <v>4.2</v>
      </c>
      <c r="I63" t="b">
        <v>0</v>
      </c>
      <c r="J63" s="12">
        <v>14</v>
      </c>
      <c r="K63" t="s">
        <v>14</v>
      </c>
      <c r="L63" s="12" t="str">
        <f t="shared" si="0"/>
        <v>2-weeks</v>
      </c>
      <c r="M63" t="str">
        <f t="shared" si="1"/>
        <v>No Risk</v>
      </c>
    </row>
    <row r="64" spans="1:13" x14ac:dyDescent="0.35">
      <c r="A64">
        <v>163</v>
      </c>
      <c r="B64" t="s">
        <v>11</v>
      </c>
      <c r="C64">
        <v>42</v>
      </c>
      <c r="D64" t="s">
        <v>19</v>
      </c>
      <c r="E64" t="s">
        <v>20</v>
      </c>
      <c r="F64" s="2">
        <v>520.4</v>
      </c>
      <c r="G64">
        <v>9</v>
      </c>
      <c r="H64">
        <v>3.5</v>
      </c>
      <c r="I64" t="b">
        <v>1</v>
      </c>
      <c r="J64" s="12">
        <v>37</v>
      </c>
      <c r="K64" t="s">
        <v>21</v>
      </c>
      <c r="L64" s="12" t="str">
        <f t="shared" si="0"/>
        <v>6-weeks</v>
      </c>
      <c r="M64" t="str">
        <f t="shared" si="1"/>
        <v>At Risk</v>
      </c>
    </row>
    <row r="65" spans="1:13" x14ac:dyDescent="0.35">
      <c r="A65">
        <v>164</v>
      </c>
      <c r="B65" t="s">
        <v>15</v>
      </c>
      <c r="C65">
        <v>29</v>
      </c>
      <c r="D65" t="s">
        <v>22</v>
      </c>
      <c r="E65" t="s">
        <v>13</v>
      </c>
      <c r="F65" s="2">
        <v>1370.2</v>
      </c>
      <c r="G65">
        <v>18</v>
      </c>
      <c r="H65">
        <v>4.7</v>
      </c>
      <c r="I65" t="b">
        <v>0</v>
      </c>
      <c r="J65" s="12">
        <v>10</v>
      </c>
      <c r="K65" t="s">
        <v>14</v>
      </c>
      <c r="L65" s="12" t="str">
        <f t="shared" si="0"/>
        <v>2-weeks</v>
      </c>
      <c r="M65" t="str">
        <f t="shared" si="1"/>
        <v>No Risk</v>
      </c>
    </row>
    <row r="66" spans="1:13" x14ac:dyDescent="0.35">
      <c r="A66">
        <v>165</v>
      </c>
      <c r="B66" t="s">
        <v>15</v>
      </c>
      <c r="C66">
        <v>26</v>
      </c>
      <c r="D66" t="s">
        <v>23</v>
      </c>
      <c r="E66" t="s">
        <v>17</v>
      </c>
      <c r="F66" s="2">
        <v>690.6</v>
      </c>
      <c r="G66">
        <v>12</v>
      </c>
      <c r="H66">
        <v>3.9</v>
      </c>
      <c r="I66" t="b">
        <v>1</v>
      </c>
      <c r="J66" s="12">
        <v>47</v>
      </c>
      <c r="K66" t="s">
        <v>21</v>
      </c>
      <c r="L66" s="12" t="str">
        <f t="shared" ref="L66:L129" si="2">_xlfn.IFS(J66&lt;=7,"1-week",J66&lt;=14,"2-weeks", J66&lt;=21,"3-weeks",J66&lt;=28,"4-weeks",J66&lt;=35,"5-weeks",J66&lt;=42,"6-weeks",J66&lt;=49,"7-weeks",J66&lt;=56,"8-weeks",J66&lt;=63,"9-weeks")</f>
        <v>7-weeks</v>
      </c>
      <c r="M66" t="str">
        <f t="shared" ref="M66:M129" si="3">IF(J66&gt;28, "At Risk", "No Risk")</f>
        <v>At Risk</v>
      </c>
    </row>
    <row r="67" spans="1:13" x14ac:dyDescent="0.35">
      <c r="A67">
        <v>166</v>
      </c>
      <c r="B67" t="s">
        <v>11</v>
      </c>
      <c r="C67">
        <v>38</v>
      </c>
      <c r="D67" t="s">
        <v>24</v>
      </c>
      <c r="E67" t="s">
        <v>20</v>
      </c>
      <c r="F67" s="2">
        <v>440.9</v>
      </c>
      <c r="G67">
        <v>8</v>
      </c>
      <c r="H67">
        <v>3.2</v>
      </c>
      <c r="I67" t="b">
        <v>0</v>
      </c>
      <c r="J67" s="12">
        <v>24</v>
      </c>
      <c r="K67" t="s">
        <v>18</v>
      </c>
      <c r="L67" s="12" t="str">
        <f t="shared" si="2"/>
        <v>4-weeks</v>
      </c>
      <c r="M67" t="str">
        <f t="shared" si="3"/>
        <v>No Risk</v>
      </c>
    </row>
    <row r="68" spans="1:13" x14ac:dyDescent="0.35">
      <c r="A68">
        <v>167</v>
      </c>
      <c r="B68" t="s">
        <v>11</v>
      </c>
      <c r="C68">
        <v>32</v>
      </c>
      <c r="D68" t="s">
        <v>12</v>
      </c>
      <c r="E68" t="s">
        <v>13</v>
      </c>
      <c r="F68" s="2">
        <v>1160.3</v>
      </c>
      <c r="G68">
        <v>14</v>
      </c>
      <c r="H68">
        <v>4.4000000000000004</v>
      </c>
      <c r="I68" t="b">
        <v>1</v>
      </c>
      <c r="J68" s="12">
        <v>22</v>
      </c>
      <c r="K68" t="s">
        <v>14</v>
      </c>
      <c r="L68" s="12" t="str">
        <f t="shared" si="2"/>
        <v>4-weeks</v>
      </c>
      <c r="M68" t="str">
        <f t="shared" si="3"/>
        <v>No Risk</v>
      </c>
    </row>
    <row r="69" spans="1:13" x14ac:dyDescent="0.35">
      <c r="A69">
        <v>168</v>
      </c>
      <c r="B69" t="s">
        <v>15</v>
      </c>
      <c r="C69">
        <v>34</v>
      </c>
      <c r="D69" t="s">
        <v>16</v>
      </c>
      <c r="E69" t="s">
        <v>17</v>
      </c>
      <c r="F69" s="2">
        <v>800.2</v>
      </c>
      <c r="G69">
        <v>11</v>
      </c>
      <c r="H69">
        <v>4.0999999999999996</v>
      </c>
      <c r="I69" t="b">
        <v>0</v>
      </c>
      <c r="J69" s="12">
        <v>17</v>
      </c>
      <c r="K69" t="s">
        <v>18</v>
      </c>
      <c r="L69" s="12" t="str">
        <f t="shared" si="2"/>
        <v>3-weeks</v>
      </c>
      <c r="M69" t="str">
        <f t="shared" si="3"/>
        <v>No Risk</v>
      </c>
    </row>
    <row r="70" spans="1:13" x14ac:dyDescent="0.35">
      <c r="A70">
        <v>169</v>
      </c>
      <c r="B70" t="s">
        <v>11</v>
      </c>
      <c r="C70">
        <v>43</v>
      </c>
      <c r="D70" t="s">
        <v>19</v>
      </c>
      <c r="E70" t="s">
        <v>20</v>
      </c>
      <c r="F70" s="2">
        <v>500.75</v>
      </c>
      <c r="G70">
        <v>10</v>
      </c>
      <c r="H70">
        <v>3.3</v>
      </c>
      <c r="I70" t="b">
        <v>1</v>
      </c>
      <c r="J70" s="12">
        <v>40</v>
      </c>
      <c r="K70" t="s">
        <v>21</v>
      </c>
      <c r="L70" s="12" t="str">
        <f t="shared" si="2"/>
        <v>6-weeks</v>
      </c>
      <c r="M70" t="str">
        <f t="shared" si="3"/>
        <v>At Risk</v>
      </c>
    </row>
    <row r="71" spans="1:13" x14ac:dyDescent="0.35">
      <c r="A71">
        <v>170</v>
      </c>
      <c r="B71" t="s">
        <v>15</v>
      </c>
      <c r="C71">
        <v>30</v>
      </c>
      <c r="D71" t="s">
        <v>22</v>
      </c>
      <c r="E71" t="s">
        <v>13</v>
      </c>
      <c r="F71" s="2">
        <v>1460.5</v>
      </c>
      <c r="G71">
        <v>20</v>
      </c>
      <c r="H71">
        <v>4.8</v>
      </c>
      <c r="I71" t="b">
        <v>0</v>
      </c>
      <c r="J71" s="12">
        <v>12</v>
      </c>
      <c r="K71" t="s">
        <v>14</v>
      </c>
      <c r="L71" s="12" t="str">
        <f t="shared" si="2"/>
        <v>2-weeks</v>
      </c>
      <c r="M71" t="str">
        <f t="shared" si="3"/>
        <v>No Risk</v>
      </c>
    </row>
    <row r="72" spans="1:13" x14ac:dyDescent="0.35">
      <c r="A72">
        <v>171</v>
      </c>
      <c r="B72" t="s">
        <v>15</v>
      </c>
      <c r="C72">
        <v>27</v>
      </c>
      <c r="D72" t="s">
        <v>23</v>
      </c>
      <c r="E72" t="s">
        <v>17</v>
      </c>
      <c r="F72" s="2">
        <v>700.4</v>
      </c>
      <c r="G72">
        <v>13</v>
      </c>
      <c r="H72">
        <v>4</v>
      </c>
      <c r="I72" t="b">
        <v>1</v>
      </c>
      <c r="J72" s="12">
        <v>53</v>
      </c>
      <c r="K72" t="s">
        <v>21</v>
      </c>
      <c r="L72" s="12" t="str">
        <f t="shared" si="2"/>
        <v>8-weeks</v>
      </c>
      <c r="M72" t="str">
        <f t="shared" si="3"/>
        <v>At Risk</v>
      </c>
    </row>
    <row r="73" spans="1:13" x14ac:dyDescent="0.35">
      <c r="A73">
        <v>172</v>
      </c>
      <c r="B73" t="s">
        <v>11</v>
      </c>
      <c r="C73">
        <v>37</v>
      </c>
      <c r="D73" t="s">
        <v>24</v>
      </c>
      <c r="E73" t="s">
        <v>20</v>
      </c>
      <c r="F73" s="2">
        <v>420.8</v>
      </c>
      <c r="G73">
        <v>7</v>
      </c>
      <c r="H73">
        <v>3.1</v>
      </c>
      <c r="I73" t="b">
        <v>0</v>
      </c>
      <c r="J73" s="12">
        <v>21</v>
      </c>
      <c r="K73" t="s">
        <v>18</v>
      </c>
      <c r="L73" s="12" t="str">
        <f t="shared" si="2"/>
        <v>3-weeks</v>
      </c>
      <c r="M73" t="str">
        <f t="shared" si="3"/>
        <v>No Risk</v>
      </c>
    </row>
    <row r="74" spans="1:13" x14ac:dyDescent="0.35">
      <c r="A74">
        <v>173</v>
      </c>
      <c r="B74" t="s">
        <v>11</v>
      </c>
      <c r="C74">
        <v>31</v>
      </c>
      <c r="D74" t="s">
        <v>12</v>
      </c>
      <c r="E74" t="s">
        <v>13</v>
      </c>
      <c r="F74" s="2">
        <v>1130.5999999999999</v>
      </c>
      <c r="G74">
        <v>15</v>
      </c>
      <c r="H74">
        <v>4.5</v>
      </c>
      <c r="I74" t="b">
        <v>1</v>
      </c>
      <c r="J74" s="12">
        <v>26</v>
      </c>
      <c r="K74" t="s">
        <v>14</v>
      </c>
      <c r="L74" s="12" t="str">
        <f t="shared" si="2"/>
        <v>4-weeks</v>
      </c>
      <c r="M74" t="str">
        <f t="shared" si="3"/>
        <v>No Risk</v>
      </c>
    </row>
    <row r="75" spans="1:13" x14ac:dyDescent="0.35">
      <c r="A75">
        <v>174</v>
      </c>
      <c r="B75" t="s">
        <v>15</v>
      </c>
      <c r="C75">
        <v>35</v>
      </c>
      <c r="D75" t="s">
        <v>16</v>
      </c>
      <c r="E75" t="s">
        <v>17</v>
      </c>
      <c r="F75" s="2">
        <v>820.9</v>
      </c>
      <c r="G75">
        <v>12</v>
      </c>
      <c r="H75">
        <v>4.3</v>
      </c>
      <c r="I75" t="b">
        <v>0</v>
      </c>
      <c r="J75" s="12">
        <v>12</v>
      </c>
      <c r="K75" t="s">
        <v>18</v>
      </c>
      <c r="L75" s="12" t="str">
        <f t="shared" si="2"/>
        <v>2-weeks</v>
      </c>
      <c r="M75" t="str">
        <f t="shared" si="3"/>
        <v>No Risk</v>
      </c>
    </row>
    <row r="76" spans="1:13" x14ac:dyDescent="0.35">
      <c r="A76">
        <v>175</v>
      </c>
      <c r="B76" t="s">
        <v>11</v>
      </c>
      <c r="C76">
        <v>41</v>
      </c>
      <c r="D76" t="s">
        <v>19</v>
      </c>
      <c r="E76" t="s">
        <v>20</v>
      </c>
      <c r="F76" s="2">
        <v>480.25</v>
      </c>
      <c r="G76">
        <v>9</v>
      </c>
      <c r="H76">
        <v>3.6</v>
      </c>
      <c r="I76" t="b">
        <v>1</v>
      </c>
      <c r="J76" s="12">
        <v>38</v>
      </c>
      <c r="K76" t="s">
        <v>21</v>
      </c>
      <c r="L76" s="12" t="str">
        <f t="shared" si="2"/>
        <v>6-weeks</v>
      </c>
      <c r="M76" t="str">
        <f t="shared" si="3"/>
        <v>At Risk</v>
      </c>
    </row>
    <row r="77" spans="1:13" x14ac:dyDescent="0.35">
      <c r="A77">
        <v>176</v>
      </c>
      <c r="B77" t="s">
        <v>15</v>
      </c>
      <c r="C77">
        <v>28</v>
      </c>
      <c r="D77" t="s">
        <v>22</v>
      </c>
      <c r="E77" t="s">
        <v>13</v>
      </c>
      <c r="F77" s="2">
        <v>1490.1</v>
      </c>
      <c r="G77">
        <v>21</v>
      </c>
      <c r="H77">
        <v>4.9000000000000004</v>
      </c>
      <c r="I77" t="b">
        <v>0</v>
      </c>
      <c r="J77" s="12">
        <v>9</v>
      </c>
      <c r="K77" t="s">
        <v>14</v>
      </c>
      <c r="L77" s="12" t="str">
        <f t="shared" si="2"/>
        <v>2-weeks</v>
      </c>
      <c r="M77" t="str">
        <f t="shared" si="3"/>
        <v>No Risk</v>
      </c>
    </row>
    <row r="78" spans="1:13" x14ac:dyDescent="0.35">
      <c r="A78">
        <v>177</v>
      </c>
      <c r="B78" t="s">
        <v>15</v>
      </c>
      <c r="C78">
        <v>32</v>
      </c>
      <c r="D78" t="s">
        <v>23</v>
      </c>
      <c r="E78" t="s">
        <v>17</v>
      </c>
      <c r="F78" s="2">
        <v>680.3</v>
      </c>
      <c r="G78">
        <v>10</v>
      </c>
      <c r="H78">
        <v>3.8</v>
      </c>
      <c r="I78" t="b">
        <v>1</v>
      </c>
      <c r="J78" s="12">
        <v>32</v>
      </c>
      <c r="K78" t="s">
        <v>21</v>
      </c>
      <c r="L78" s="12" t="str">
        <f t="shared" si="2"/>
        <v>5-weeks</v>
      </c>
      <c r="M78" t="str">
        <f t="shared" si="3"/>
        <v>At Risk</v>
      </c>
    </row>
    <row r="79" spans="1:13" x14ac:dyDescent="0.35">
      <c r="A79">
        <v>178</v>
      </c>
      <c r="B79" t="s">
        <v>11</v>
      </c>
      <c r="C79">
        <v>36</v>
      </c>
      <c r="D79" t="s">
        <v>24</v>
      </c>
      <c r="E79" t="s">
        <v>20</v>
      </c>
      <c r="F79" s="2">
        <v>470.5</v>
      </c>
      <c r="G79">
        <v>8</v>
      </c>
      <c r="H79">
        <v>3</v>
      </c>
      <c r="I79" t="b">
        <v>0</v>
      </c>
      <c r="J79" s="12">
        <v>18</v>
      </c>
      <c r="K79" t="s">
        <v>18</v>
      </c>
      <c r="L79" s="12" t="str">
        <f t="shared" si="2"/>
        <v>3-weeks</v>
      </c>
      <c r="M79" t="str">
        <f t="shared" si="3"/>
        <v>No Risk</v>
      </c>
    </row>
    <row r="80" spans="1:13" x14ac:dyDescent="0.35">
      <c r="A80">
        <v>179</v>
      </c>
      <c r="B80" t="s">
        <v>11</v>
      </c>
      <c r="C80">
        <v>30</v>
      </c>
      <c r="D80" t="s">
        <v>12</v>
      </c>
      <c r="E80" t="s">
        <v>13</v>
      </c>
      <c r="F80" s="2">
        <v>1180.8</v>
      </c>
      <c r="G80">
        <v>16</v>
      </c>
      <c r="H80">
        <v>4.7</v>
      </c>
      <c r="I80" t="b">
        <v>1</v>
      </c>
      <c r="J80" s="12">
        <v>19</v>
      </c>
      <c r="K80" t="s">
        <v>14</v>
      </c>
      <c r="L80" s="12" t="str">
        <f t="shared" si="2"/>
        <v>3-weeks</v>
      </c>
      <c r="M80" t="str">
        <f t="shared" si="3"/>
        <v>No Risk</v>
      </c>
    </row>
    <row r="81" spans="1:13" x14ac:dyDescent="0.35">
      <c r="A81">
        <v>180</v>
      </c>
      <c r="B81" t="s">
        <v>15</v>
      </c>
      <c r="C81">
        <v>34</v>
      </c>
      <c r="D81" t="s">
        <v>16</v>
      </c>
      <c r="E81" t="s">
        <v>17</v>
      </c>
      <c r="F81" s="2">
        <v>790.2</v>
      </c>
      <c r="G81">
        <v>11</v>
      </c>
      <c r="H81">
        <v>4</v>
      </c>
      <c r="I81" t="b">
        <v>0</v>
      </c>
      <c r="J81" s="12">
        <v>15</v>
      </c>
      <c r="K81" t="s">
        <v>18</v>
      </c>
      <c r="L81" s="12" t="str">
        <f t="shared" si="2"/>
        <v>3-weeks</v>
      </c>
      <c r="M81" t="str">
        <f t="shared" si="3"/>
        <v>No Risk</v>
      </c>
    </row>
    <row r="82" spans="1:13" x14ac:dyDescent="0.35">
      <c r="A82">
        <v>181</v>
      </c>
      <c r="B82" t="s">
        <v>11</v>
      </c>
      <c r="C82">
        <v>43</v>
      </c>
      <c r="D82" t="s">
        <v>19</v>
      </c>
      <c r="E82" t="s">
        <v>20</v>
      </c>
      <c r="F82" s="2">
        <v>505.75</v>
      </c>
      <c r="G82">
        <v>10</v>
      </c>
      <c r="H82">
        <v>3.3</v>
      </c>
      <c r="I82" t="b">
        <v>1</v>
      </c>
      <c r="J82" s="12">
        <v>39</v>
      </c>
      <c r="K82" t="s">
        <v>21</v>
      </c>
      <c r="L82" s="12" t="str">
        <f t="shared" si="2"/>
        <v>6-weeks</v>
      </c>
      <c r="M82" t="str">
        <f t="shared" si="3"/>
        <v>At Risk</v>
      </c>
    </row>
    <row r="83" spans="1:13" x14ac:dyDescent="0.35">
      <c r="A83">
        <v>182</v>
      </c>
      <c r="B83" t="s">
        <v>15</v>
      </c>
      <c r="C83">
        <v>30</v>
      </c>
      <c r="D83" t="s">
        <v>22</v>
      </c>
      <c r="E83" t="s">
        <v>13</v>
      </c>
      <c r="F83" s="2">
        <v>1470.5</v>
      </c>
      <c r="G83">
        <v>20</v>
      </c>
      <c r="H83">
        <v>4.8</v>
      </c>
      <c r="I83" t="b">
        <v>0</v>
      </c>
      <c r="J83" s="12">
        <v>13</v>
      </c>
      <c r="K83" t="s">
        <v>14</v>
      </c>
      <c r="L83" s="12" t="str">
        <f t="shared" si="2"/>
        <v>2-weeks</v>
      </c>
      <c r="M83" t="str">
        <f t="shared" si="3"/>
        <v>No Risk</v>
      </c>
    </row>
    <row r="84" spans="1:13" x14ac:dyDescent="0.35">
      <c r="A84">
        <v>183</v>
      </c>
      <c r="B84" t="s">
        <v>15</v>
      </c>
      <c r="C84">
        <v>27</v>
      </c>
      <c r="D84" t="s">
        <v>23</v>
      </c>
      <c r="E84" t="s">
        <v>17</v>
      </c>
      <c r="F84" s="2">
        <v>710.4</v>
      </c>
      <c r="G84">
        <v>13</v>
      </c>
      <c r="H84">
        <v>4.0999999999999996</v>
      </c>
      <c r="I84" t="b">
        <v>1</v>
      </c>
      <c r="J84" s="12">
        <v>54</v>
      </c>
      <c r="K84" t="s">
        <v>21</v>
      </c>
      <c r="L84" s="12" t="str">
        <f t="shared" si="2"/>
        <v>8-weeks</v>
      </c>
      <c r="M84" t="str">
        <f t="shared" si="3"/>
        <v>At Risk</v>
      </c>
    </row>
    <row r="85" spans="1:13" x14ac:dyDescent="0.35">
      <c r="A85">
        <v>184</v>
      </c>
      <c r="B85" t="s">
        <v>11</v>
      </c>
      <c r="C85">
        <v>37</v>
      </c>
      <c r="D85" t="s">
        <v>24</v>
      </c>
      <c r="E85" t="s">
        <v>20</v>
      </c>
      <c r="F85" s="2">
        <v>430.8</v>
      </c>
      <c r="G85">
        <v>7</v>
      </c>
      <c r="H85">
        <v>3.4</v>
      </c>
      <c r="I85" t="b">
        <v>0</v>
      </c>
      <c r="J85" s="12">
        <v>23</v>
      </c>
      <c r="K85" t="s">
        <v>18</v>
      </c>
      <c r="L85" s="12" t="str">
        <f t="shared" si="2"/>
        <v>4-weeks</v>
      </c>
      <c r="M85" t="str">
        <f t="shared" si="3"/>
        <v>No Risk</v>
      </c>
    </row>
    <row r="86" spans="1:13" x14ac:dyDescent="0.35">
      <c r="A86">
        <v>185</v>
      </c>
      <c r="B86" t="s">
        <v>11</v>
      </c>
      <c r="C86">
        <v>31</v>
      </c>
      <c r="D86" t="s">
        <v>12</v>
      </c>
      <c r="E86" t="s">
        <v>13</v>
      </c>
      <c r="F86" s="2">
        <v>1140.5999999999999</v>
      </c>
      <c r="G86">
        <v>15</v>
      </c>
      <c r="H86">
        <v>4.5999999999999996</v>
      </c>
      <c r="I86" t="b">
        <v>1</v>
      </c>
      <c r="J86" s="12">
        <v>27</v>
      </c>
      <c r="K86" t="s">
        <v>14</v>
      </c>
      <c r="L86" s="12" t="str">
        <f t="shared" si="2"/>
        <v>4-weeks</v>
      </c>
      <c r="M86" t="str">
        <f t="shared" si="3"/>
        <v>No Risk</v>
      </c>
    </row>
    <row r="87" spans="1:13" x14ac:dyDescent="0.35">
      <c r="A87">
        <v>186</v>
      </c>
      <c r="B87" t="s">
        <v>15</v>
      </c>
      <c r="C87">
        <v>35</v>
      </c>
      <c r="D87" t="s">
        <v>16</v>
      </c>
      <c r="E87" t="s">
        <v>17</v>
      </c>
      <c r="F87" s="2">
        <v>810.9</v>
      </c>
      <c r="G87">
        <v>12</v>
      </c>
      <c r="H87">
        <v>4.3</v>
      </c>
      <c r="I87" t="b">
        <v>0</v>
      </c>
      <c r="J87" s="12">
        <v>13</v>
      </c>
      <c r="K87" t="s">
        <v>18</v>
      </c>
      <c r="L87" s="12" t="str">
        <f t="shared" si="2"/>
        <v>2-weeks</v>
      </c>
      <c r="M87" t="str">
        <f t="shared" si="3"/>
        <v>No Risk</v>
      </c>
    </row>
    <row r="88" spans="1:13" x14ac:dyDescent="0.35">
      <c r="A88">
        <v>187</v>
      </c>
      <c r="B88" t="s">
        <v>11</v>
      </c>
      <c r="C88">
        <v>41</v>
      </c>
      <c r="D88" t="s">
        <v>19</v>
      </c>
      <c r="E88" t="s">
        <v>20</v>
      </c>
      <c r="F88" s="2">
        <v>485.25</v>
      </c>
      <c r="G88">
        <v>9</v>
      </c>
      <c r="H88">
        <v>3.6</v>
      </c>
      <c r="I88" t="b">
        <v>1</v>
      </c>
      <c r="J88" s="12">
        <v>39</v>
      </c>
      <c r="K88" t="s">
        <v>21</v>
      </c>
      <c r="L88" s="12" t="str">
        <f t="shared" si="2"/>
        <v>6-weeks</v>
      </c>
      <c r="M88" t="str">
        <f t="shared" si="3"/>
        <v>At Risk</v>
      </c>
    </row>
    <row r="89" spans="1:13" x14ac:dyDescent="0.35">
      <c r="A89">
        <v>188</v>
      </c>
      <c r="B89" t="s">
        <v>15</v>
      </c>
      <c r="C89">
        <v>28</v>
      </c>
      <c r="D89" t="s">
        <v>22</v>
      </c>
      <c r="E89" t="s">
        <v>13</v>
      </c>
      <c r="F89" s="2">
        <v>1500.1</v>
      </c>
      <c r="G89">
        <v>21</v>
      </c>
      <c r="H89">
        <v>4.9000000000000004</v>
      </c>
      <c r="I89" t="b">
        <v>0</v>
      </c>
      <c r="J89" s="12">
        <v>10</v>
      </c>
      <c r="K89" t="s">
        <v>14</v>
      </c>
      <c r="L89" s="12" t="str">
        <f t="shared" si="2"/>
        <v>2-weeks</v>
      </c>
      <c r="M89" t="str">
        <f t="shared" si="3"/>
        <v>No Risk</v>
      </c>
    </row>
    <row r="90" spans="1:13" x14ac:dyDescent="0.35">
      <c r="A90">
        <v>189</v>
      </c>
      <c r="B90" t="s">
        <v>15</v>
      </c>
      <c r="C90">
        <v>32</v>
      </c>
      <c r="D90" t="s">
        <v>23</v>
      </c>
      <c r="E90" t="s">
        <v>17</v>
      </c>
      <c r="F90" s="2">
        <v>670.3</v>
      </c>
      <c r="G90">
        <v>10</v>
      </c>
      <c r="H90">
        <v>3.8</v>
      </c>
      <c r="I90" t="b">
        <v>1</v>
      </c>
      <c r="J90" s="12">
        <v>33</v>
      </c>
      <c r="K90" t="s">
        <v>21</v>
      </c>
      <c r="L90" s="12" t="str">
        <f t="shared" si="2"/>
        <v>5-weeks</v>
      </c>
      <c r="M90" t="str">
        <f t="shared" si="3"/>
        <v>At Risk</v>
      </c>
    </row>
    <row r="91" spans="1:13" x14ac:dyDescent="0.35">
      <c r="A91">
        <v>190</v>
      </c>
      <c r="B91" t="s">
        <v>11</v>
      </c>
      <c r="C91">
        <v>36</v>
      </c>
      <c r="D91" t="s">
        <v>24</v>
      </c>
      <c r="E91" t="s">
        <v>20</v>
      </c>
      <c r="F91" s="2">
        <v>460.5</v>
      </c>
      <c r="G91">
        <v>8</v>
      </c>
      <c r="H91">
        <v>3.1</v>
      </c>
      <c r="I91" t="b">
        <v>0</v>
      </c>
      <c r="J91" s="12">
        <v>19</v>
      </c>
      <c r="K91" t="s">
        <v>18</v>
      </c>
      <c r="L91" s="12" t="str">
        <f t="shared" si="2"/>
        <v>3-weeks</v>
      </c>
      <c r="M91" t="str">
        <f t="shared" si="3"/>
        <v>No Risk</v>
      </c>
    </row>
    <row r="92" spans="1:13" x14ac:dyDescent="0.35">
      <c r="A92">
        <v>191</v>
      </c>
      <c r="B92" t="s">
        <v>11</v>
      </c>
      <c r="C92">
        <v>30</v>
      </c>
      <c r="D92" t="s">
        <v>12</v>
      </c>
      <c r="E92" t="s">
        <v>13</v>
      </c>
      <c r="F92" s="2">
        <v>1190.8</v>
      </c>
      <c r="G92">
        <v>16</v>
      </c>
      <c r="H92">
        <v>4.5</v>
      </c>
      <c r="I92" t="b">
        <v>1</v>
      </c>
      <c r="J92" s="12">
        <v>20</v>
      </c>
      <c r="K92" t="s">
        <v>14</v>
      </c>
      <c r="L92" s="12" t="str">
        <f t="shared" si="2"/>
        <v>3-weeks</v>
      </c>
      <c r="M92" t="str">
        <f t="shared" si="3"/>
        <v>No Risk</v>
      </c>
    </row>
    <row r="93" spans="1:13" x14ac:dyDescent="0.35">
      <c r="A93">
        <v>192</v>
      </c>
      <c r="B93" t="s">
        <v>15</v>
      </c>
      <c r="C93">
        <v>33</v>
      </c>
      <c r="D93" t="s">
        <v>16</v>
      </c>
      <c r="E93" t="s">
        <v>17</v>
      </c>
      <c r="F93" s="2">
        <v>830.75</v>
      </c>
      <c r="G93">
        <v>13</v>
      </c>
      <c r="H93">
        <v>4.2</v>
      </c>
      <c r="I93" t="b">
        <v>0</v>
      </c>
      <c r="J93" s="12">
        <v>14</v>
      </c>
      <c r="K93" t="s">
        <v>14</v>
      </c>
      <c r="L93" s="12" t="str">
        <f t="shared" si="2"/>
        <v>2-weeks</v>
      </c>
      <c r="M93" t="str">
        <f t="shared" si="3"/>
        <v>No Risk</v>
      </c>
    </row>
    <row r="94" spans="1:13" x14ac:dyDescent="0.35">
      <c r="A94">
        <v>193</v>
      </c>
      <c r="B94" t="s">
        <v>11</v>
      </c>
      <c r="C94">
        <v>42</v>
      </c>
      <c r="D94" t="s">
        <v>19</v>
      </c>
      <c r="E94" t="s">
        <v>20</v>
      </c>
      <c r="F94" s="2">
        <v>520.4</v>
      </c>
      <c r="G94">
        <v>9</v>
      </c>
      <c r="H94">
        <v>3.5</v>
      </c>
      <c r="I94" t="b">
        <v>1</v>
      </c>
      <c r="J94" s="12">
        <v>37</v>
      </c>
      <c r="K94" t="s">
        <v>21</v>
      </c>
      <c r="L94" s="12" t="str">
        <f t="shared" si="2"/>
        <v>6-weeks</v>
      </c>
      <c r="M94" t="str">
        <f t="shared" si="3"/>
        <v>At Risk</v>
      </c>
    </row>
    <row r="95" spans="1:13" x14ac:dyDescent="0.35">
      <c r="A95">
        <v>194</v>
      </c>
      <c r="B95" t="s">
        <v>15</v>
      </c>
      <c r="C95">
        <v>29</v>
      </c>
      <c r="D95" t="s">
        <v>22</v>
      </c>
      <c r="E95" t="s">
        <v>13</v>
      </c>
      <c r="F95" s="2">
        <v>1370.2</v>
      </c>
      <c r="G95">
        <v>18</v>
      </c>
      <c r="H95">
        <v>4.7</v>
      </c>
      <c r="I95" t="b">
        <v>0</v>
      </c>
      <c r="J95" s="12">
        <v>10</v>
      </c>
      <c r="K95" t="s">
        <v>14</v>
      </c>
      <c r="L95" s="12" t="str">
        <f t="shared" si="2"/>
        <v>2-weeks</v>
      </c>
      <c r="M95" t="str">
        <f t="shared" si="3"/>
        <v>No Risk</v>
      </c>
    </row>
    <row r="96" spans="1:13" x14ac:dyDescent="0.35">
      <c r="A96">
        <v>195</v>
      </c>
      <c r="B96" t="s">
        <v>15</v>
      </c>
      <c r="C96">
        <v>26</v>
      </c>
      <c r="D96" t="s">
        <v>23</v>
      </c>
      <c r="E96" t="s">
        <v>17</v>
      </c>
      <c r="F96" s="2">
        <v>690.6</v>
      </c>
      <c r="G96">
        <v>12</v>
      </c>
      <c r="H96">
        <v>3.9</v>
      </c>
      <c r="I96" t="b">
        <v>1</v>
      </c>
      <c r="J96" s="12">
        <v>47</v>
      </c>
      <c r="K96" t="s">
        <v>21</v>
      </c>
      <c r="L96" s="12" t="str">
        <f t="shared" si="2"/>
        <v>7-weeks</v>
      </c>
      <c r="M96" t="str">
        <f t="shared" si="3"/>
        <v>At Risk</v>
      </c>
    </row>
    <row r="97" spans="1:13" x14ac:dyDescent="0.35">
      <c r="A97">
        <v>196</v>
      </c>
      <c r="B97" t="s">
        <v>11</v>
      </c>
      <c r="C97">
        <v>38</v>
      </c>
      <c r="D97" t="s">
        <v>24</v>
      </c>
      <c r="E97" t="s">
        <v>20</v>
      </c>
      <c r="F97" s="2">
        <v>440.9</v>
      </c>
      <c r="G97">
        <v>8</v>
      </c>
      <c r="H97">
        <v>3.2</v>
      </c>
      <c r="I97" t="b">
        <v>0</v>
      </c>
      <c r="J97" s="12">
        <v>24</v>
      </c>
      <c r="K97" t="s">
        <v>18</v>
      </c>
      <c r="L97" s="12" t="str">
        <f t="shared" si="2"/>
        <v>4-weeks</v>
      </c>
      <c r="M97" t="str">
        <f t="shared" si="3"/>
        <v>No Risk</v>
      </c>
    </row>
    <row r="98" spans="1:13" x14ac:dyDescent="0.35">
      <c r="A98">
        <v>197</v>
      </c>
      <c r="B98" t="s">
        <v>11</v>
      </c>
      <c r="C98">
        <v>32</v>
      </c>
      <c r="D98" t="s">
        <v>12</v>
      </c>
      <c r="E98" t="s">
        <v>13</v>
      </c>
      <c r="F98" s="2">
        <v>1160.3</v>
      </c>
      <c r="G98">
        <v>14</v>
      </c>
      <c r="H98">
        <v>4.4000000000000004</v>
      </c>
      <c r="I98" t="b">
        <v>1</v>
      </c>
      <c r="J98" s="12">
        <v>22</v>
      </c>
      <c r="K98" t="s">
        <v>14</v>
      </c>
      <c r="L98" s="12" t="str">
        <f t="shared" si="2"/>
        <v>4-weeks</v>
      </c>
      <c r="M98" t="str">
        <f t="shared" si="3"/>
        <v>No Risk</v>
      </c>
    </row>
    <row r="99" spans="1:13" x14ac:dyDescent="0.35">
      <c r="A99">
        <v>198</v>
      </c>
      <c r="B99" t="s">
        <v>15</v>
      </c>
      <c r="C99">
        <v>34</v>
      </c>
      <c r="D99" t="s">
        <v>16</v>
      </c>
      <c r="E99" t="s">
        <v>17</v>
      </c>
      <c r="F99" s="2">
        <v>800.2</v>
      </c>
      <c r="G99">
        <v>11</v>
      </c>
      <c r="H99">
        <v>4.0999999999999996</v>
      </c>
      <c r="I99" t="b">
        <v>0</v>
      </c>
      <c r="J99" s="12">
        <v>17</v>
      </c>
      <c r="K99" t="s">
        <v>18</v>
      </c>
      <c r="L99" s="12" t="str">
        <f t="shared" si="2"/>
        <v>3-weeks</v>
      </c>
      <c r="M99" t="str">
        <f t="shared" si="3"/>
        <v>No Risk</v>
      </c>
    </row>
    <row r="100" spans="1:13" x14ac:dyDescent="0.35">
      <c r="A100">
        <v>199</v>
      </c>
      <c r="B100" t="s">
        <v>11</v>
      </c>
      <c r="C100">
        <v>43</v>
      </c>
      <c r="D100" t="s">
        <v>19</v>
      </c>
      <c r="E100" t="s">
        <v>20</v>
      </c>
      <c r="F100" s="2">
        <v>500.75</v>
      </c>
      <c r="G100">
        <v>10</v>
      </c>
      <c r="H100">
        <v>3.3</v>
      </c>
      <c r="I100" t="b">
        <v>1</v>
      </c>
      <c r="J100" s="12">
        <v>40</v>
      </c>
      <c r="K100" t="s">
        <v>21</v>
      </c>
      <c r="L100" s="12" t="str">
        <f t="shared" si="2"/>
        <v>6-weeks</v>
      </c>
      <c r="M100" t="str">
        <f t="shared" si="3"/>
        <v>At Risk</v>
      </c>
    </row>
    <row r="101" spans="1:13" x14ac:dyDescent="0.35">
      <c r="A101">
        <v>200</v>
      </c>
      <c r="B101" t="s">
        <v>15</v>
      </c>
      <c r="C101">
        <v>30</v>
      </c>
      <c r="D101" t="s">
        <v>22</v>
      </c>
      <c r="E101" t="s">
        <v>13</v>
      </c>
      <c r="F101" s="2">
        <v>1460.5</v>
      </c>
      <c r="G101">
        <v>20</v>
      </c>
      <c r="H101">
        <v>4.8</v>
      </c>
      <c r="I101" t="b">
        <v>0</v>
      </c>
      <c r="J101" s="12">
        <v>12</v>
      </c>
      <c r="K101" t="s">
        <v>14</v>
      </c>
      <c r="L101" s="12" t="str">
        <f t="shared" si="2"/>
        <v>2-weeks</v>
      </c>
      <c r="M101" t="str">
        <f t="shared" si="3"/>
        <v>No Risk</v>
      </c>
    </row>
    <row r="102" spans="1:13" x14ac:dyDescent="0.35">
      <c r="A102">
        <v>201</v>
      </c>
      <c r="B102" t="s">
        <v>15</v>
      </c>
      <c r="C102">
        <v>27</v>
      </c>
      <c r="D102" t="s">
        <v>23</v>
      </c>
      <c r="E102" t="s">
        <v>17</v>
      </c>
      <c r="F102" s="2">
        <v>700.4</v>
      </c>
      <c r="G102">
        <v>13</v>
      </c>
      <c r="H102">
        <v>4</v>
      </c>
      <c r="I102" t="b">
        <v>1</v>
      </c>
      <c r="J102" s="12">
        <v>53</v>
      </c>
      <c r="K102" t="s">
        <v>21</v>
      </c>
      <c r="L102" s="12" t="str">
        <f t="shared" si="2"/>
        <v>8-weeks</v>
      </c>
      <c r="M102" t="str">
        <f t="shared" si="3"/>
        <v>At Risk</v>
      </c>
    </row>
    <row r="103" spans="1:13" x14ac:dyDescent="0.35">
      <c r="A103">
        <v>202</v>
      </c>
      <c r="B103" t="s">
        <v>11</v>
      </c>
      <c r="C103">
        <v>37</v>
      </c>
      <c r="D103" t="s">
        <v>24</v>
      </c>
      <c r="E103" t="s">
        <v>20</v>
      </c>
      <c r="F103" s="2">
        <v>420.8</v>
      </c>
      <c r="G103">
        <v>7</v>
      </c>
      <c r="H103">
        <v>3.1</v>
      </c>
      <c r="I103" t="b">
        <v>0</v>
      </c>
      <c r="J103" s="12">
        <v>21</v>
      </c>
      <c r="K103" t="s">
        <v>18</v>
      </c>
      <c r="L103" s="12" t="str">
        <f t="shared" si="2"/>
        <v>3-weeks</v>
      </c>
      <c r="M103" t="str">
        <f t="shared" si="3"/>
        <v>No Risk</v>
      </c>
    </row>
    <row r="104" spans="1:13" x14ac:dyDescent="0.35">
      <c r="A104">
        <v>203</v>
      </c>
      <c r="B104" t="s">
        <v>11</v>
      </c>
      <c r="C104">
        <v>31</v>
      </c>
      <c r="D104" t="s">
        <v>12</v>
      </c>
      <c r="E104" t="s">
        <v>13</v>
      </c>
      <c r="F104" s="2">
        <v>1130.5999999999999</v>
      </c>
      <c r="G104">
        <v>15</v>
      </c>
      <c r="H104">
        <v>4.5</v>
      </c>
      <c r="I104" t="b">
        <v>1</v>
      </c>
      <c r="J104" s="12">
        <v>26</v>
      </c>
      <c r="K104" t="s">
        <v>14</v>
      </c>
      <c r="L104" s="12" t="str">
        <f t="shared" si="2"/>
        <v>4-weeks</v>
      </c>
      <c r="M104" t="str">
        <f t="shared" si="3"/>
        <v>No Risk</v>
      </c>
    </row>
    <row r="105" spans="1:13" x14ac:dyDescent="0.35">
      <c r="A105">
        <v>204</v>
      </c>
      <c r="B105" t="s">
        <v>15</v>
      </c>
      <c r="C105">
        <v>35</v>
      </c>
      <c r="D105" t="s">
        <v>16</v>
      </c>
      <c r="E105" t="s">
        <v>17</v>
      </c>
      <c r="F105" s="2">
        <v>820.9</v>
      </c>
      <c r="G105">
        <v>12</v>
      </c>
      <c r="H105">
        <v>4.3</v>
      </c>
      <c r="I105" t="b">
        <v>0</v>
      </c>
      <c r="J105" s="12">
        <v>12</v>
      </c>
      <c r="K105" t="s">
        <v>18</v>
      </c>
      <c r="L105" s="12" t="str">
        <f t="shared" si="2"/>
        <v>2-weeks</v>
      </c>
      <c r="M105" t="str">
        <f t="shared" si="3"/>
        <v>No Risk</v>
      </c>
    </row>
    <row r="106" spans="1:13" x14ac:dyDescent="0.35">
      <c r="A106">
        <v>205</v>
      </c>
      <c r="B106" t="s">
        <v>11</v>
      </c>
      <c r="C106">
        <v>41</v>
      </c>
      <c r="D106" t="s">
        <v>19</v>
      </c>
      <c r="E106" t="s">
        <v>20</v>
      </c>
      <c r="F106" s="2">
        <v>480.25</v>
      </c>
      <c r="G106">
        <v>9</v>
      </c>
      <c r="H106">
        <v>3.6</v>
      </c>
      <c r="I106" t="b">
        <v>1</v>
      </c>
      <c r="J106" s="12">
        <v>38</v>
      </c>
      <c r="K106" t="s">
        <v>21</v>
      </c>
      <c r="L106" s="12" t="str">
        <f t="shared" si="2"/>
        <v>6-weeks</v>
      </c>
      <c r="M106" t="str">
        <f t="shared" si="3"/>
        <v>At Risk</v>
      </c>
    </row>
    <row r="107" spans="1:13" x14ac:dyDescent="0.35">
      <c r="A107">
        <v>206</v>
      </c>
      <c r="B107" t="s">
        <v>15</v>
      </c>
      <c r="C107">
        <v>28</v>
      </c>
      <c r="D107" t="s">
        <v>22</v>
      </c>
      <c r="E107" t="s">
        <v>13</v>
      </c>
      <c r="F107" s="2">
        <v>1490.1</v>
      </c>
      <c r="G107">
        <v>21</v>
      </c>
      <c r="H107">
        <v>4.9000000000000004</v>
      </c>
      <c r="I107" t="b">
        <v>0</v>
      </c>
      <c r="J107" s="12">
        <v>9</v>
      </c>
      <c r="K107" t="s">
        <v>14</v>
      </c>
      <c r="L107" s="12" t="str">
        <f t="shared" si="2"/>
        <v>2-weeks</v>
      </c>
      <c r="M107" t="str">
        <f t="shared" si="3"/>
        <v>No Risk</v>
      </c>
    </row>
    <row r="108" spans="1:13" x14ac:dyDescent="0.35">
      <c r="A108">
        <v>207</v>
      </c>
      <c r="B108" t="s">
        <v>15</v>
      </c>
      <c r="C108">
        <v>32</v>
      </c>
      <c r="D108" t="s">
        <v>23</v>
      </c>
      <c r="E108" t="s">
        <v>17</v>
      </c>
      <c r="F108" s="2">
        <v>680.3</v>
      </c>
      <c r="G108">
        <v>10</v>
      </c>
      <c r="H108">
        <v>3.8</v>
      </c>
      <c r="I108" t="b">
        <v>1</v>
      </c>
      <c r="J108" s="12">
        <v>32</v>
      </c>
      <c r="K108" t="s">
        <v>21</v>
      </c>
      <c r="L108" s="12" t="str">
        <f t="shared" si="2"/>
        <v>5-weeks</v>
      </c>
      <c r="M108" t="str">
        <f t="shared" si="3"/>
        <v>At Risk</v>
      </c>
    </row>
    <row r="109" spans="1:13" x14ac:dyDescent="0.35">
      <c r="A109">
        <v>208</v>
      </c>
      <c r="B109" t="s">
        <v>11</v>
      </c>
      <c r="C109">
        <v>36</v>
      </c>
      <c r="D109" t="s">
        <v>24</v>
      </c>
      <c r="E109" t="s">
        <v>20</v>
      </c>
      <c r="F109" s="2">
        <v>470.5</v>
      </c>
      <c r="G109">
        <v>8</v>
      </c>
      <c r="H109">
        <v>3</v>
      </c>
      <c r="I109" t="b">
        <v>0</v>
      </c>
      <c r="J109" s="12">
        <v>18</v>
      </c>
      <c r="K109" t="s">
        <v>18</v>
      </c>
      <c r="L109" s="12" t="str">
        <f t="shared" si="2"/>
        <v>3-weeks</v>
      </c>
      <c r="M109" t="str">
        <f t="shared" si="3"/>
        <v>No Risk</v>
      </c>
    </row>
    <row r="110" spans="1:13" x14ac:dyDescent="0.35">
      <c r="A110">
        <v>209</v>
      </c>
      <c r="B110" t="s">
        <v>11</v>
      </c>
      <c r="C110">
        <v>30</v>
      </c>
      <c r="D110" t="s">
        <v>12</v>
      </c>
      <c r="E110" t="s">
        <v>13</v>
      </c>
      <c r="F110" s="2">
        <v>1180.8</v>
      </c>
      <c r="G110">
        <v>16</v>
      </c>
      <c r="H110">
        <v>4.7</v>
      </c>
      <c r="I110" t="b">
        <v>1</v>
      </c>
      <c r="J110" s="12">
        <v>19</v>
      </c>
      <c r="K110" t="s">
        <v>14</v>
      </c>
      <c r="L110" s="12" t="str">
        <f t="shared" si="2"/>
        <v>3-weeks</v>
      </c>
      <c r="M110" t="str">
        <f t="shared" si="3"/>
        <v>No Risk</v>
      </c>
    </row>
    <row r="111" spans="1:13" x14ac:dyDescent="0.35">
      <c r="A111">
        <v>210</v>
      </c>
      <c r="B111" t="s">
        <v>15</v>
      </c>
      <c r="C111">
        <v>34</v>
      </c>
      <c r="D111" t="s">
        <v>16</v>
      </c>
      <c r="E111" t="s">
        <v>17</v>
      </c>
      <c r="F111" s="2">
        <v>790.2</v>
      </c>
      <c r="G111">
        <v>11</v>
      </c>
      <c r="H111">
        <v>4</v>
      </c>
      <c r="I111" t="b">
        <v>0</v>
      </c>
      <c r="J111" s="12">
        <v>15</v>
      </c>
      <c r="K111" t="s">
        <v>18</v>
      </c>
      <c r="L111" s="12" t="str">
        <f t="shared" si="2"/>
        <v>3-weeks</v>
      </c>
      <c r="M111" t="str">
        <f t="shared" si="3"/>
        <v>No Risk</v>
      </c>
    </row>
    <row r="112" spans="1:13" x14ac:dyDescent="0.35">
      <c r="A112">
        <v>211</v>
      </c>
      <c r="B112" t="s">
        <v>11</v>
      </c>
      <c r="C112">
        <v>43</v>
      </c>
      <c r="D112" t="s">
        <v>19</v>
      </c>
      <c r="E112" t="s">
        <v>20</v>
      </c>
      <c r="F112" s="2">
        <v>505.75</v>
      </c>
      <c r="G112">
        <v>10</v>
      </c>
      <c r="H112">
        <v>3.3</v>
      </c>
      <c r="I112" t="b">
        <v>1</v>
      </c>
      <c r="J112" s="12">
        <v>39</v>
      </c>
      <c r="K112" t="s">
        <v>21</v>
      </c>
      <c r="L112" s="12" t="str">
        <f t="shared" si="2"/>
        <v>6-weeks</v>
      </c>
      <c r="M112" t="str">
        <f t="shared" si="3"/>
        <v>At Risk</v>
      </c>
    </row>
    <row r="113" spans="1:13" x14ac:dyDescent="0.35">
      <c r="A113">
        <v>212</v>
      </c>
      <c r="B113" t="s">
        <v>15</v>
      </c>
      <c r="C113">
        <v>30</v>
      </c>
      <c r="D113" t="s">
        <v>22</v>
      </c>
      <c r="E113" t="s">
        <v>13</v>
      </c>
      <c r="F113" s="2">
        <v>1470.5</v>
      </c>
      <c r="G113">
        <v>20</v>
      </c>
      <c r="H113">
        <v>4.8</v>
      </c>
      <c r="I113" t="b">
        <v>0</v>
      </c>
      <c r="J113" s="12">
        <v>13</v>
      </c>
      <c r="K113" t="s">
        <v>14</v>
      </c>
      <c r="L113" s="12" t="str">
        <f t="shared" si="2"/>
        <v>2-weeks</v>
      </c>
      <c r="M113" t="str">
        <f t="shared" si="3"/>
        <v>No Risk</v>
      </c>
    </row>
    <row r="114" spans="1:13" x14ac:dyDescent="0.35">
      <c r="A114">
        <v>213</v>
      </c>
      <c r="B114" t="s">
        <v>15</v>
      </c>
      <c r="C114">
        <v>27</v>
      </c>
      <c r="D114" t="s">
        <v>23</v>
      </c>
      <c r="E114" t="s">
        <v>17</v>
      </c>
      <c r="F114" s="2">
        <v>710.4</v>
      </c>
      <c r="G114">
        <v>13</v>
      </c>
      <c r="H114">
        <v>4.0999999999999996</v>
      </c>
      <c r="I114" t="b">
        <v>1</v>
      </c>
      <c r="J114" s="12">
        <v>54</v>
      </c>
      <c r="K114" t="s">
        <v>21</v>
      </c>
      <c r="L114" s="12" t="str">
        <f t="shared" si="2"/>
        <v>8-weeks</v>
      </c>
      <c r="M114" t="str">
        <f t="shared" si="3"/>
        <v>At Risk</v>
      </c>
    </row>
    <row r="115" spans="1:13" x14ac:dyDescent="0.35">
      <c r="A115">
        <v>214</v>
      </c>
      <c r="B115" t="s">
        <v>11</v>
      </c>
      <c r="C115">
        <v>37</v>
      </c>
      <c r="D115" t="s">
        <v>24</v>
      </c>
      <c r="E115" t="s">
        <v>20</v>
      </c>
      <c r="F115" s="2">
        <v>430.8</v>
      </c>
      <c r="G115">
        <v>7</v>
      </c>
      <c r="H115">
        <v>3.4</v>
      </c>
      <c r="I115" t="b">
        <v>0</v>
      </c>
      <c r="J115" s="12">
        <v>23</v>
      </c>
      <c r="K115" t="s">
        <v>18</v>
      </c>
      <c r="L115" s="12" t="str">
        <f t="shared" si="2"/>
        <v>4-weeks</v>
      </c>
      <c r="M115" t="str">
        <f t="shared" si="3"/>
        <v>No Risk</v>
      </c>
    </row>
    <row r="116" spans="1:13" x14ac:dyDescent="0.35">
      <c r="A116">
        <v>215</v>
      </c>
      <c r="B116" t="s">
        <v>11</v>
      </c>
      <c r="C116">
        <v>31</v>
      </c>
      <c r="D116" t="s">
        <v>12</v>
      </c>
      <c r="E116" t="s">
        <v>13</v>
      </c>
      <c r="F116" s="2">
        <v>1140.5999999999999</v>
      </c>
      <c r="G116">
        <v>15</v>
      </c>
      <c r="H116">
        <v>4.5999999999999996</v>
      </c>
      <c r="I116" t="b">
        <v>1</v>
      </c>
      <c r="J116" s="12">
        <v>27</v>
      </c>
      <c r="K116" t="s">
        <v>14</v>
      </c>
      <c r="L116" s="12" t="str">
        <f t="shared" si="2"/>
        <v>4-weeks</v>
      </c>
      <c r="M116" t="str">
        <f t="shared" si="3"/>
        <v>No Risk</v>
      </c>
    </row>
    <row r="117" spans="1:13" x14ac:dyDescent="0.35">
      <c r="A117">
        <v>216</v>
      </c>
      <c r="B117" t="s">
        <v>15</v>
      </c>
      <c r="C117">
        <v>35</v>
      </c>
      <c r="D117" t="s">
        <v>16</v>
      </c>
      <c r="E117" t="s">
        <v>17</v>
      </c>
      <c r="F117" s="2">
        <v>810.9</v>
      </c>
      <c r="G117">
        <v>12</v>
      </c>
      <c r="H117">
        <v>4.3</v>
      </c>
      <c r="I117" t="b">
        <v>0</v>
      </c>
      <c r="J117" s="12">
        <v>13</v>
      </c>
      <c r="K117" t="s">
        <v>18</v>
      </c>
      <c r="L117" s="12" t="str">
        <f t="shared" si="2"/>
        <v>2-weeks</v>
      </c>
      <c r="M117" t="str">
        <f t="shared" si="3"/>
        <v>No Risk</v>
      </c>
    </row>
    <row r="118" spans="1:13" x14ac:dyDescent="0.35">
      <c r="A118">
        <v>217</v>
      </c>
      <c r="B118" t="s">
        <v>11</v>
      </c>
      <c r="C118">
        <v>41</v>
      </c>
      <c r="D118" t="s">
        <v>19</v>
      </c>
      <c r="E118" t="s">
        <v>20</v>
      </c>
      <c r="F118" s="2">
        <v>485.25</v>
      </c>
      <c r="G118">
        <v>9</v>
      </c>
      <c r="H118">
        <v>3.6</v>
      </c>
      <c r="I118" t="b">
        <v>1</v>
      </c>
      <c r="J118" s="12">
        <v>39</v>
      </c>
      <c r="K118" t="s">
        <v>21</v>
      </c>
      <c r="L118" s="12" t="str">
        <f t="shared" si="2"/>
        <v>6-weeks</v>
      </c>
      <c r="M118" t="str">
        <f t="shared" si="3"/>
        <v>At Risk</v>
      </c>
    </row>
    <row r="119" spans="1:13" x14ac:dyDescent="0.35">
      <c r="A119">
        <v>218</v>
      </c>
      <c r="B119" t="s">
        <v>15</v>
      </c>
      <c r="C119">
        <v>28</v>
      </c>
      <c r="D119" t="s">
        <v>22</v>
      </c>
      <c r="E119" t="s">
        <v>13</v>
      </c>
      <c r="F119" s="2">
        <v>1500.1</v>
      </c>
      <c r="G119">
        <v>21</v>
      </c>
      <c r="H119">
        <v>4.9000000000000004</v>
      </c>
      <c r="I119" t="b">
        <v>0</v>
      </c>
      <c r="J119" s="12">
        <v>10</v>
      </c>
      <c r="K119" t="s">
        <v>14</v>
      </c>
      <c r="L119" s="12" t="str">
        <f t="shared" si="2"/>
        <v>2-weeks</v>
      </c>
      <c r="M119" t="str">
        <f t="shared" si="3"/>
        <v>No Risk</v>
      </c>
    </row>
    <row r="120" spans="1:13" x14ac:dyDescent="0.35">
      <c r="A120">
        <v>219</v>
      </c>
      <c r="B120" t="s">
        <v>15</v>
      </c>
      <c r="C120">
        <v>32</v>
      </c>
      <c r="D120" t="s">
        <v>23</v>
      </c>
      <c r="E120" t="s">
        <v>17</v>
      </c>
      <c r="F120" s="2">
        <v>670.3</v>
      </c>
      <c r="G120">
        <v>10</v>
      </c>
      <c r="H120">
        <v>3.8</v>
      </c>
      <c r="I120" t="b">
        <v>1</v>
      </c>
      <c r="J120" s="12">
        <v>33</v>
      </c>
      <c r="K120" t="s">
        <v>21</v>
      </c>
      <c r="L120" s="12" t="str">
        <f t="shared" si="2"/>
        <v>5-weeks</v>
      </c>
      <c r="M120" t="str">
        <f t="shared" si="3"/>
        <v>At Risk</v>
      </c>
    </row>
    <row r="121" spans="1:13" x14ac:dyDescent="0.35">
      <c r="A121">
        <v>220</v>
      </c>
      <c r="B121" t="s">
        <v>11</v>
      </c>
      <c r="C121">
        <v>36</v>
      </c>
      <c r="D121" t="s">
        <v>24</v>
      </c>
      <c r="E121" t="s">
        <v>20</v>
      </c>
      <c r="F121" s="2">
        <v>460.5</v>
      </c>
      <c r="G121">
        <v>8</v>
      </c>
      <c r="H121">
        <v>3.1</v>
      </c>
      <c r="I121" t="b">
        <v>0</v>
      </c>
      <c r="J121" s="12">
        <v>19</v>
      </c>
      <c r="K121" t="s">
        <v>18</v>
      </c>
      <c r="L121" s="12" t="str">
        <f t="shared" si="2"/>
        <v>3-weeks</v>
      </c>
      <c r="M121" t="str">
        <f t="shared" si="3"/>
        <v>No Risk</v>
      </c>
    </row>
    <row r="122" spans="1:13" x14ac:dyDescent="0.35">
      <c r="A122">
        <v>221</v>
      </c>
      <c r="B122" t="s">
        <v>11</v>
      </c>
      <c r="C122">
        <v>30</v>
      </c>
      <c r="D122" t="s">
        <v>12</v>
      </c>
      <c r="E122" t="s">
        <v>13</v>
      </c>
      <c r="F122" s="2">
        <v>1190.8</v>
      </c>
      <c r="G122">
        <v>16</v>
      </c>
      <c r="H122">
        <v>4.5</v>
      </c>
      <c r="I122" t="b">
        <v>1</v>
      </c>
      <c r="J122" s="12">
        <v>20</v>
      </c>
      <c r="K122" t="s">
        <v>14</v>
      </c>
      <c r="L122" s="12" t="str">
        <f t="shared" si="2"/>
        <v>3-weeks</v>
      </c>
      <c r="M122" t="str">
        <f t="shared" si="3"/>
        <v>No Risk</v>
      </c>
    </row>
    <row r="123" spans="1:13" x14ac:dyDescent="0.35">
      <c r="A123">
        <v>222</v>
      </c>
      <c r="B123" t="s">
        <v>15</v>
      </c>
      <c r="C123">
        <v>33</v>
      </c>
      <c r="D123" t="s">
        <v>16</v>
      </c>
      <c r="E123" t="s">
        <v>17</v>
      </c>
      <c r="F123" s="2">
        <v>830.75</v>
      </c>
      <c r="G123">
        <v>13</v>
      </c>
      <c r="H123">
        <v>4.2</v>
      </c>
      <c r="I123" t="b">
        <v>0</v>
      </c>
      <c r="J123" s="12">
        <v>14</v>
      </c>
      <c r="K123" t="s">
        <v>14</v>
      </c>
      <c r="L123" s="12" t="str">
        <f t="shared" si="2"/>
        <v>2-weeks</v>
      </c>
      <c r="M123" t="str">
        <f t="shared" si="3"/>
        <v>No Risk</v>
      </c>
    </row>
    <row r="124" spans="1:13" x14ac:dyDescent="0.35">
      <c r="A124">
        <v>223</v>
      </c>
      <c r="B124" t="s">
        <v>11</v>
      </c>
      <c r="C124">
        <v>42</v>
      </c>
      <c r="D124" t="s">
        <v>19</v>
      </c>
      <c r="E124" t="s">
        <v>20</v>
      </c>
      <c r="F124" s="2">
        <v>520.4</v>
      </c>
      <c r="G124">
        <v>9</v>
      </c>
      <c r="H124">
        <v>3.5</v>
      </c>
      <c r="I124" t="b">
        <v>1</v>
      </c>
      <c r="J124" s="12">
        <v>37</v>
      </c>
      <c r="K124" t="s">
        <v>21</v>
      </c>
      <c r="L124" s="12" t="str">
        <f t="shared" si="2"/>
        <v>6-weeks</v>
      </c>
      <c r="M124" t="str">
        <f t="shared" si="3"/>
        <v>At Risk</v>
      </c>
    </row>
    <row r="125" spans="1:13" x14ac:dyDescent="0.35">
      <c r="A125">
        <v>224</v>
      </c>
      <c r="B125" t="s">
        <v>15</v>
      </c>
      <c r="C125">
        <v>29</v>
      </c>
      <c r="D125" t="s">
        <v>22</v>
      </c>
      <c r="E125" t="s">
        <v>13</v>
      </c>
      <c r="F125" s="2">
        <v>1370.2</v>
      </c>
      <c r="G125">
        <v>18</v>
      </c>
      <c r="H125">
        <v>4.7</v>
      </c>
      <c r="I125" t="b">
        <v>0</v>
      </c>
      <c r="J125" s="12">
        <v>10</v>
      </c>
      <c r="K125" t="s">
        <v>14</v>
      </c>
      <c r="L125" s="12" t="str">
        <f t="shared" si="2"/>
        <v>2-weeks</v>
      </c>
      <c r="M125" t="str">
        <f t="shared" si="3"/>
        <v>No Risk</v>
      </c>
    </row>
    <row r="126" spans="1:13" x14ac:dyDescent="0.35">
      <c r="A126">
        <v>225</v>
      </c>
      <c r="B126" t="s">
        <v>15</v>
      </c>
      <c r="C126">
        <v>26</v>
      </c>
      <c r="D126" t="s">
        <v>23</v>
      </c>
      <c r="E126" t="s">
        <v>17</v>
      </c>
      <c r="F126" s="2">
        <v>690.6</v>
      </c>
      <c r="G126">
        <v>12</v>
      </c>
      <c r="H126">
        <v>3.9</v>
      </c>
      <c r="I126" t="b">
        <v>1</v>
      </c>
      <c r="J126" s="12">
        <v>47</v>
      </c>
      <c r="K126" t="s">
        <v>21</v>
      </c>
      <c r="L126" s="12" t="str">
        <f t="shared" si="2"/>
        <v>7-weeks</v>
      </c>
      <c r="M126" t="str">
        <f t="shared" si="3"/>
        <v>At Risk</v>
      </c>
    </row>
    <row r="127" spans="1:13" x14ac:dyDescent="0.35">
      <c r="A127">
        <v>226</v>
      </c>
      <c r="B127" t="s">
        <v>11</v>
      </c>
      <c r="C127">
        <v>38</v>
      </c>
      <c r="D127" t="s">
        <v>24</v>
      </c>
      <c r="E127" t="s">
        <v>20</v>
      </c>
      <c r="F127" s="2">
        <v>440.9</v>
      </c>
      <c r="G127">
        <v>8</v>
      </c>
      <c r="H127">
        <v>3.2</v>
      </c>
      <c r="I127" t="b">
        <v>0</v>
      </c>
      <c r="J127" s="12">
        <v>24</v>
      </c>
      <c r="K127" t="s">
        <v>18</v>
      </c>
      <c r="L127" s="12" t="str">
        <f t="shared" si="2"/>
        <v>4-weeks</v>
      </c>
      <c r="M127" t="str">
        <f t="shared" si="3"/>
        <v>No Risk</v>
      </c>
    </row>
    <row r="128" spans="1:13" x14ac:dyDescent="0.35">
      <c r="A128">
        <v>227</v>
      </c>
      <c r="B128" t="s">
        <v>11</v>
      </c>
      <c r="C128">
        <v>32</v>
      </c>
      <c r="D128" t="s">
        <v>12</v>
      </c>
      <c r="E128" t="s">
        <v>13</v>
      </c>
      <c r="F128" s="2">
        <v>1160.3</v>
      </c>
      <c r="G128">
        <v>14</v>
      </c>
      <c r="H128">
        <v>4.4000000000000004</v>
      </c>
      <c r="I128" t="b">
        <v>1</v>
      </c>
      <c r="J128" s="12">
        <v>22</v>
      </c>
      <c r="K128" t="s">
        <v>14</v>
      </c>
      <c r="L128" s="12" t="str">
        <f t="shared" si="2"/>
        <v>4-weeks</v>
      </c>
      <c r="M128" t="str">
        <f t="shared" si="3"/>
        <v>No Risk</v>
      </c>
    </row>
    <row r="129" spans="1:13" x14ac:dyDescent="0.35">
      <c r="A129">
        <v>228</v>
      </c>
      <c r="B129" t="s">
        <v>15</v>
      </c>
      <c r="C129">
        <v>34</v>
      </c>
      <c r="D129" t="s">
        <v>16</v>
      </c>
      <c r="E129" t="s">
        <v>17</v>
      </c>
      <c r="F129" s="2">
        <v>800.2</v>
      </c>
      <c r="G129">
        <v>11</v>
      </c>
      <c r="H129">
        <v>4.0999999999999996</v>
      </c>
      <c r="I129" t="b">
        <v>0</v>
      </c>
      <c r="J129" s="12">
        <v>17</v>
      </c>
      <c r="K129" t="s">
        <v>18</v>
      </c>
      <c r="L129" s="12" t="str">
        <f t="shared" si="2"/>
        <v>3-weeks</v>
      </c>
      <c r="M129" t="str">
        <f t="shared" si="3"/>
        <v>No Risk</v>
      </c>
    </row>
    <row r="130" spans="1:13" x14ac:dyDescent="0.35">
      <c r="A130">
        <v>229</v>
      </c>
      <c r="B130" t="s">
        <v>11</v>
      </c>
      <c r="C130">
        <v>43</v>
      </c>
      <c r="D130" t="s">
        <v>19</v>
      </c>
      <c r="E130" t="s">
        <v>20</v>
      </c>
      <c r="F130" s="2">
        <v>500.75</v>
      </c>
      <c r="G130">
        <v>10</v>
      </c>
      <c r="H130">
        <v>3.3</v>
      </c>
      <c r="I130" t="b">
        <v>1</v>
      </c>
      <c r="J130" s="12">
        <v>40</v>
      </c>
      <c r="K130" t="s">
        <v>21</v>
      </c>
      <c r="L130" s="12" t="str">
        <f t="shared" ref="L130:L193" si="4">_xlfn.IFS(J130&lt;=7,"1-week",J130&lt;=14,"2-weeks", J130&lt;=21,"3-weeks",J130&lt;=28,"4-weeks",J130&lt;=35,"5-weeks",J130&lt;=42,"6-weeks",J130&lt;=49,"7-weeks",J130&lt;=56,"8-weeks",J130&lt;=63,"9-weeks")</f>
        <v>6-weeks</v>
      </c>
      <c r="M130" t="str">
        <f t="shared" ref="M130:M193" si="5">IF(J130&gt;28, "At Risk", "No Risk")</f>
        <v>At Risk</v>
      </c>
    </row>
    <row r="131" spans="1:13" x14ac:dyDescent="0.35">
      <c r="A131">
        <v>230</v>
      </c>
      <c r="B131" t="s">
        <v>15</v>
      </c>
      <c r="C131">
        <v>30</v>
      </c>
      <c r="D131" t="s">
        <v>22</v>
      </c>
      <c r="E131" t="s">
        <v>13</v>
      </c>
      <c r="F131" s="2">
        <v>1460.5</v>
      </c>
      <c r="G131">
        <v>20</v>
      </c>
      <c r="H131">
        <v>4.8</v>
      </c>
      <c r="I131" t="b">
        <v>0</v>
      </c>
      <c r="J131" s="12">
        <v>12</v>
      </c>
      <c r="K131" t="s">
        <v>14</v>
      </c>
      <c r="L131" s="12" t="str">
        <f t="shared" si="4"/>
        <v>2-weeks</v>
      </c>
      <c r="M131" t="str">
        <f t="shared" si="5"/>
        <v>No Risk</v>
      </c>
    </row>
    <row r="132" spans="1:13" x14ac:dyDescent="0.35">
      <c r="A132">
        <v>231</v>
      </c>
      <c r="B132" t="s">
        <v>15</v>
      </c>
      <c r="C132">
        <v>27</v>
      </c>
      <c r="D132" t="s">
        <v>23</v>
      </c>
      <c r="E132" t="s">
        <v>17</v>
      </c>
      <c r="F132" s="2">
        <v>700.4</v>
      </c>
      <c r="G132">
        <v>13</v>
      </c>
      <c r="H132">
        <v>4</v>
      </c>
      <c r="I132" t="b">
        <v>1</v>
      </c>
      <c r="J132" s="12">
        <v>53</v>
      </c>
      <c r="K132" t="s">
        <v>21</v>
      </c>
      <c r="L132" s="12" t="str">
        <f t="shared" si="4"/>
        <v>8-weeks</v>
      </c>
      <c r="M132" t="str">
        <f t="shared" si="5"/>
        <v>At Risk</v>
      </c>
    </row>
    <row r="133" spans="1:13" x14ac:dyDescent="0.35">
      <c r="A133">
        <v>232</v>
      </c>
      <c r="B133" t="s">
        <v>11</v>
      </c>
      <c r="C133">
        <v>37</v>
      </c>
      <c r="D133" t="s">
        <v>24</v>
      </c>
      <c r="E133" t="s">
        <v>20</v>
      </c>
      <c r="F133" s="2">
        <v>420.8</v>
      </c>
      <c r="G133">
        <v>7</v>
      </c>
      <c r="H133">
        <v>3.1</v>
      </c>
      <c r="I133" t="b">
        <v>0</v>
      </c>
      <c r="J133" s="12">
        <v>21</v>
      </c>
      <c r="K133" t="s">
        <v>18</v>
      </c>
      <c r="L133" s="12" t="str">
        <f t="shared" si="4"/>
        <v>3-weeks</v>
      </c>
      <c r="M133" t="str">
        <f t="shared" si="5"/>
        <v>No Risk</v>
      </c>
    </row>
    <row r="134" spans="1:13" x14ac:dyDescent="0.35">
      <c r="A134">
        <v>233</v>
      </c>
      <c r="B134" t="s">
        <v>11</v>
      </c>
      <c r="C134">
        <v>31</v>
      </c>
      <c r="D134" t="s">
        <v>12</v>
      </c>
      <c r="E134" t="s">
        <v>13</v>
      </c>
      <c r="F134" s="2">
        <v>1130.5999999999999</v>
      </c>
      <c r="G134">
        <v>15</v>
      </c>
      <c r="H134">
        <v>4.5</v>
      </c>
      <c r="I134" t="b">
        <v>1</v>
      </c>
      <c r="J134" s="12">
        <v>26</v>
      </c>
      <c r="K134" t="s">
        <v>14</v>
      </c>
      <c r="L134" s="12" t="str">
        <f t="shared" si="4"/>
        <v>4-weeks</v>
      </c>
      <c r="M134" t="str">
        <f t="shared" si="5"/>
        <v>No Risk</v>
      </c>
    </row>
    <row r="135" spans="1:13" x14ac:dyDescent="0.35">
      <c r="A135">
        <v>234</v>
      </c>
      <c r="B135" t="s">
        <v>15</v>
      </c>
      <c r="C135">
        <v>35</v>
      </c>
      <c r="D135" t="s">
        <v>16</v>
      </c>
      <c r="E135" t="s">
        <v>17</v>
      </c>
      <c r="F135" s="2">
        <v>820.9</v>
      </c>
      <c r="G135">
        <v>12</v>
      </c>
      <c r="H135">
        <v>4.3</v>
      </c>
      <c r="I135" t="b">
        <v>0</v>
      </c>
      <c r="J135" s="12">
        <v>12</v>
      </c>
      <c r="K135" t="s">
        <v>18</v>
      </c>
      <c r="L135" s="12" t="str">
        <f t="shared" si="4"/>
        <v>2-weeks</v>
      </c>
      <c r="M135" t="str">
        <f t="shared" si="5"/>
        <v>No Risk</v>
      </c>
    </row>
    <row r="136" spans="1:13" x14ac:dyDescent="0.35">
      <c r="A136">
        <v>235</v>
      </c>
      <c r="B136" t="s">
        <v>11</v>
      </c>
      <c r="C136">
        <v>41</v>
      </c>
      <c r="D136" t="s">
        <v>19</v>
      </c>
      <c r="E136" t="s">
        <v>20</v>
      </c>
      <c r="F136" s="2">
        <v>480.25</v>
      </c>
      <c r="G136">
        <v>9</v>
      </c>
      <c r="H136">
        <v>3.6</v>
      </c>
      <c r="I136" t="b">
        <v>1</v>
      </c>
      <c r="J136" s="12">
        <v>38</v>
      </c>
      <c r="K136" t="s">
        <v>21</v>
      </c>
      <c r="L136" s="12" t="str">
        <f t="shared" si="4"/>
        <v>6-weeks</v>
      </c>
      <c r="M136" t="str">
        <f t="shared" si="5"/>
        <v>At Risk</v>
      </c>
    </row>
    <row r="137" spans="1:13" x14ac:dyDescent="0.35">
      <c r="A137">
        <v>236</v>
      </c>
      <c r="B137" t="s">
        <v>15</v>
      </c>
      <c r="C137">
        <v>28</v>
      </c>
      <c r="D137" t="s">
        <v>22</v>
      </c>
      <c r="E137" t="s">
        <v>13</v>
      </c>
      <c r="F137" s="2">
        <v>1490.1</v>
      </c>
      <c r="G137">
        <v>21</v>
      </c>
      <c r="H137">
        <v>4.9000000000000004</v>
      </c>
      <c r="I137" t="b">
        <v>0</v>
      </c>
      <c r="J137" s="12">
        <v>9</v>
      </c>
      <c r="K137" t="s">
        <v>14</v>
      </c>
      <c r="L137" s="12" t="str">
        <f t="shared" si="4"/>
        <v>2-weeks</v>
      </c>
      <c r="M137" t="str">
        <f t="shared" si="5"/>
        <v>No Risk</v>
      </c>
    </row>
    <row r="138" spans="1:13" x14ac:dyDescent="0.35">
      <c r="A138">
        <v>237</v>
      </c>
      <c r="B138" t="s">
        <v>15</v>
      </c>
      <c r="C138">
        <v>32</v>
      </c>
      <c r="D138" t="s">
        <v>23</v>
      </c>
      <c r="E138" t="s">
        <v>17</v>
      </c>
      <c r="F138" s="2">
        <v>680.3</v>
      </c>
      <c r="G138">
        <v>10</v>
      </c>
      <c r="H138">
        <v>3.8</v>
      </c>
      <c r="I138" t="b">
        <v>1</v>
      </c>
      <c r="J138" s="12">
        <v>32</v>
      </c>
      <c r="K138" t="s">
        <v>21</v>
      </c>
      <c r="L138" s="12" t="str">
        <f t="shared" si="4"/>
        <v>5-weeks</v>
      </c>
      <c r="M138" t="str">
        <f t="shared" si="5"/>
        <v>At Risk</v>
      </c>
    </row>
    <row r="139" spans="1:13" x14ac:dyDescent="0.35">
      <c r="A139">
        <v>238</v>
      </c>
      <c r="B139" t="s">
        <v>11</v>
      </c>
      <c r="C139">
        <v>36</v>
      </c>
      <c r="D139" t="s">
        <v>24</v>
      </c>
      <c r="E139" t="s">
        <v>20</v>
      </c>
      <c r="F139" s="2">
        <v>470.5</v>
      </c>
      <c r="G139">
        <v>8</v>
      </c>
      <c r="H139">
        <v>3</v>
      </c>
      <c r="I139" t="b">
        <v>0</v>
      </c>
      <c r="J139" s="12">
        <v>18</v>
      </c>
      <c r="K139" t="s">
        <v>18</v>
      </c>
      <c r="L139" s="12" t="str">
        <f t="shared" si="4"/>
        <v>3-weeks</v>
      </c>
      <c r="M139" t="str">
        <f t="shared" si="5"/>
        <v>No Risk</v>
      </c>
    </row>
    <row r="140" spans="1:13" x14ac:dyDescent="0.35">
      <c r="A140">
        <v>239</v>
      </c>
      <c r="B140" t="s">
        <v>11</v>
      </c>
      <c r="C140">
        <v>30</v>
      </c>
      <c r="D140" t="s">
        <v>12</v>
      </c>
      <c r="E140" t="s">
        <v>13</v>
      </c>
      <c r="F140" s="2">
        <v>1180.8</v>
      </c>
      <c r="G140">
        <v>16</v>
      </c>
      <c r="H140">
        <v>4.7</v>
      </c>
      <c r="I140" t="b">
        <v>1</v>
      </c>
      <c r="J140" s="12">
        <v>19</v>
      </c>
      <c r="K140" t="s">
        <v>14</v>
      </c>
      <c r="L140" s="12" t="str">
        <f t="shared" si="4"/>
        <v>3-weeks</v>
      </c>
      <c r="M140" t="str">
        <f t="shared" si="5"/>
        <v>No Risk</v>
      </c>
    </row>
    <row r="141" spans="1:13" x14ac:dyDescent="0.35">
      <c r="A141">
        <v>240</v>
      </c>
      <c r="B141" t="s">
        <v>15</v>
      </c>
      <c r="C141">
        <v>34</v>
      </c>
      <c r="D141" t="s">
        <v>16</v>
      </c>
      <c r="E141" t="s">
        <v>17</v>
      </c>
      <c r="F141" s="2">
        <v>790.2</v>
      </c>
      <c r="G141">
        <v>11</v>
      </c>
      <c r="H141">
        <v>4</v>
      </c>
      <c r="I141" t="b">
        <v>0</v>
      </c>
      <c r="J141" s="12">
        <v>15</v>
      </c>
      <c r="K141" t="s">
        <v>18</v>
      </c>
      <c r="L141" s="12" t="str">
        <f t="shared" si="4"/>
        <v>3-weeks</v>
      </c>
      <c r="M141" t="str">
        <f t="shared" si="5"/>
        <v>No Risk</v>
      </c>
    </row>
    <row r="142" spans="1:13" x14ac:dyDescent="0.35">
      <c r="A142">
        <v>241</v>
      </c>
      <c r="B142" t="s">
        <v>11</v>
      </c>
      <c r="C142">
        <v>43</v>
      </c>
      <c r="D142" t="s">
        <v>19</v>
      </c>
      <c r="E142" t="s">
        <v>20</v>
      </c>
      <c r="F142" s="2">
        <v>505.75</v>
      </c>
      <c r="G142">
        <v>10</v>
      </c>
      <c r="H142">
        <v>3.3</v>
      </c>
      <c r="I142" t="b">
        <v>1</v>
      </c>
      <c r="J142" s="12">
        <v>39</v>
      </c>
      <c r="K142" t="s">
        <v>21</v>
      </c>
      <c r="L142" s="12" t="str">
        <f t="shared" si="4"/>
        <v>6-weeks</v>
      </c>
      <c r="M142" t="str">
        <f t="shared" si="5"/>
        <v>At Risk</v>
      </c>
    </row>
    <row r="143" spans="1:13" x14ac:dyDescent="0.35">
      <c r="A143">
        <v>242</v>
      </c>
      <c r="B143" t="s">
        <v>15</v>
      </c>
      <c r="C143">
        <v>30</v>
      </c>
      <c r="D143" t="s">
        <v>22</v>
      </c>
      <c r="E143" t="s">
        <v>13</v>
      </c>
      <c r="F143" s="2">
        <v>1470.5</v>
      </c>
      <c r="G143">
        <v>20</v>
      </c>
      <c r="H143">
        <v>4.8</v>
      </c>
      <c r="I143" t="b">
        <v>0</v>
      </c>
      <c r="J143" s="12">
        <v>13</v>
      </c>
      <c r="K143" t="s">
        <v>14</v>
      </c>
      <c r="L143" s="12" t="str">
        <f t="shared" si="4"/>
        <v>2-weeks</v>
      </c>
      <c r="M143" t="str">
        <f t="shared" si="5"/>
        <v>No Risk</v>
      </c>
    </row>
    <row r="144" spans="1:13" x14ac:dyDescent="0.35">
      <c r="A144">
        <v>243</v>
      </c>
      <c r="B144" t="s">
        <v>15</v>
      </c>
      <c r="C144">
        <v>27</v>
      </c>
      <c r="D144" t="s">
        <v>23</v>
      </c>
      <c r="E144" t="s">
        <v>17</v>
      </c>
      <c r="F144" s="2">
        <v>710.4</v>
      </c>
      <c r="G144">
        <v>13</v>
      </c>
      <c r="H144">
        <v>4.0999999999999996</v>
      </c>
      <c r="I144" t="b">
        <v>1</v>
      </c>
      <c r="J144" s="12">
        <v>54</v>
      </c>
      <c r="K144" t="s">
        <v>21</v>
      </c>
      <c r="L144" s="12" t="str">
        <f t="shared" si="4"/>
        <v>8-weeks</v>
      </c>
      <c r="M144" t="str">
        <f t="shared" si="5"/>
        <v>At Risk</v>
      </c>
    </row>
    <row r="145" spans="1:13" x14ac:dyDescent="0.35">
      <c r="A145">
        <v>244</v>
      </c>
      <c r="B145" t="s">
        <v>11</v>
      </c>
      <c r="C145">
        <v>37</v>
      </c>
      <c r="D145" t="s">
        <v>24</v>
      </c>
      <c r="E145" t="s">
        <v>20</v>
      </c>
      <c r="F145" s="2">
        <v>430.8</v>
      </c>
      <c r="G145">
        <v>7</v>
      </c>
      <c r="H145">
        <v>3.4</v>
      </c>
      <c r="I145" t="b">
        <v>0</v>
      </c>
      <c r="J145" s="12">
        <v>23</v>
      </c>
      <c r="K145" t="s">
        <v>18</v>
      </c>
      <c r="L145" s="12" t="str">
        <f t="shared" si="4"/>
        <v>4-weeks</v>
      </c>
      <c r="M145" t="str">
        <f t="shared" si="5"/>
        <v>No Risk</v>
      </c>
    </row>
    <row r="146" spans="1:13" x14ac:dyDescent="0.35">
      <c r="A146">
        <v>245</v>
      </c>
      <c r="B146" t="s">
        <v>11</v>
      </c>
      <c r="C146">
        <v>31</v>
      </c>
      <c r="D146" t="s">
        <v>12</v>
      </c>
      <c r="E146" t="s">
        <v>13</v>
      </c>
      <c r="F146" s="2">
        <v>1130.5999999999999</v>
      </c>
      <c r="G146">
        <v>15</v>
      </c>
      <c r="H146">
        <v>4.5</v>
      </c>
      <c r="I146" t="b">
        <v>1</v>
      </c>
      <c r="J146" s="12">
        <v>26</v>
      </c>
      <c r="K146" t="s">
        <v>14</v>
      </c>
      <c r="L146" s="12" t="str">
        <f t="shared" si="4"/>
        <v>4-weeks</v>
      </c>
      <c r="M146" t="str">
        <f t="shared" si="5"/>
        <v>No Risk</v>
      </c>
    </row>
    <row r="147" spans="1:13" x14ac:dyDescent="0.35">
      <c r="A147">
        <v>246</v>
      </c>
      <c r="B147" t="s">
        <v>15</v>
      </c>
      <c r="C147">
        <v>35</v>
      </c>
      <c r="D147" t="s">
        <v>16</v>
      </c>
      <c r="E147" t="s">
        <v>17</v>
      </c>
      <c r="F147" s="2">
        <v>820.9</v>
      </c>
      <c r="G147">
        <v>12</v>
      </c>
      <c r="H147">
        <v>4.3</v>
      </c>
      <c r="I147" t="b">
        <v>0</v>
      </c>
      <c r="J147" s="12">
        <v>12</v>
      </c>
      <c r="K147" t="s">
        <v>18</v>
      </c>
      <c r="L147" s="12" t="str">
        <f t="shared" si="4"/>
        <v>2-weeks</v>
      </c>
      <c r="M147" t="str">
        <f t="shared" si="5"/>
        <v>No Risk</v>
      </c>
    </row>
    <row r="148" spans="1:13" x14ac:dyDescent="0.35">
      <c r="A148">
        <v>247</v>
      </c>
      <c r="B148" t="s">
        <v>11</v>
      </c>
      <c r="C148">
        <v>41</v>
      </c>
      <c r="D148" t="s">
        <v>19</v>
      </c>
      <c r="E148" t="s">
        <v>20</v>
      </c>
      <c r="F148" s="2">
        <v>480.25</v>
      </c>
      <c r="G148">
        <v>9</v>
      </c>
      <c r="H148">
        <v>3.6</v>
      </c>
      <c r="I148" t="b">
        <v>1</v>
      </c>
      <c r="J148" s="12">
        <v>38</v>
      </c>
      <c r="K148" t="s">
        <v>21</v>
      </c>
      <c r="L148" s="12" t="str">
        <f t="shared" si="4"/>
        <v>6-weeks</v>
      </c>
      <c r="M148" t="str">
        <f t="shared" si="5"/>
        <v>At Risk</v>
      </c>
    </row>
    <row r="149" spans="1:13" x14ac:dyDescent="0.35">
      <c r="A149">
        <v>248</v>
      </c>
      <c r="B149" t="s">
        <v>15</v>
      </c>
      <c r="C149">
        <v>28</v>
      </c>
      <c r="D149" t="s">
        <v>22</v>
      </c>
      <c r="E149" t="s">
        <v>13</v>
      </c>
      <c r="F149" s="2">
        <v>1490.1</v>
      </c>
      <c r="G149">
        <v>21</v>
      </c>
      <c r="H149">
        <v>4.9000000000000004</v>
      </c>
      <c r="I149" t="b">
        <v>0</v>
      </c>
      <c r="J149" s="12">
        <v>9</v>
      </c>
      <c r="K149" t="s">
        <v>14</v>
      </c>
      <c r="L149" s="12" t="str">
        <f t="shared" si="4"/>
        <v>2-weeks</v>
      </c>
      <c r="M149" t="str">
        <f t="shared" si="5"/>
        <v>No Risk</v>
      </c>
    </row>
    <row r="150" spans="1:13" x14ac:dyDescent="0.35">
      <c r="A150">
        <v>249</v>
      </c>
      <c r="B150" t="s">
        <v>15</v>
      </c>
      <c r="C150">
        <v>32</v>
      </c>
      <c r="D150" t="s">
        <v>23</v>
      </c>
      <c r="E150" t="s">
        <v>17</v>
      </c>
      <c r="F150" s="2">
        <v>680.3</v>
      </c>
      <c r="G150">
        <v>10</v>
      </c>
      <c r="H150">
        <v>3.8</v>
      </c>
      <c r="I150" t="b">
        <v>1</v>
      </c>
      <c r="J150" s="12">
        <v>32</v>
      </c>
      <c r="K150" t="s">
        <v>21</v>
      </c>
      <c r="L150" s="12" t="str">
        <f t="shared" si="4"/>
        <v>5-weeks</v>
      </c>
      <c r="M150" t="str">
        <f t="shared" si="5"/>
        <v>At Risk</v>
      </c>
    </row>
    <row r="151" spans="1:13" x14ac:dyDescent="0.35">
      <c r="A151">
        <v>250</v>
      </c>
      <c r="B151" t="s">
        <v>11</v>
      </c>
      <c r="C151">
        <v>36</v>
      </c>
      <c r="D151" t="s">
        <v>24</v>
      </c>
      <c r="E151" t="s">
        <v>20</v>
      </c>
      <c r="F151" s="2">
        <v>470.5</v>
      </c>
      <c r="G151">
        <v>8</v>
      </c>
      <c r="H151">
        <v>3</v>
      </c>
      <c r="I151" t="b">
        <v>0</v>
      </c>
      <c r="J151" s="12">
        <v>18</v>
      </c>
      <c r="K151" t="s">
        <v>18</v>
      </c>
      <c r="L151" s="12" t="str">
        <f t="shared" si="4"/>
        <v>3-weeks</v>
      </c>
      <c r="M151" t="str">
        <f t="shared" si="5"/>
        <v>No Risk</v>
      </c>
    </row>
    <row r="152" spans="1:13" x14ac:dyDescent="0.35">
      <c r="A152">
        <v>251</v>
      </c>
      <c r="B152" t="s">
        <v>11</v>
      </c>
      <c r="C152">
        <v>30</v>
      </c>
      <c r="D152" t="s">
        <v>12</v>
      </c>
      <c r="E152" t="s">
        <v>13</v>
      </c>
      <c r="F152" s="2">
        <v>1180.8</v>
      </c>
      <c r="G152">
        <v>16</v>
      </c>
      <c r="H152">
        <v>4.7</v>
      </c>
      <c r="I152" t="b">
        <v>1</v>
      </c>
      <c r="J152" s="12">
        <v>19</v>
      </c>
      <c r="K152" t="s">
        <v>14</v>
      </c>
      <c r="L152" s="12" t="str">
        <f t="shared" si="4"/>
        <v>3-weeks</v>
      </c>
      <c r="M152" t="str">
        <f t="shared" si="5"/>
        <v>No Risk</v>
      </c>
    </row>
    <row r="153" spans="1:13" x14ac:dyDescent="0.35">
      <c r="A153">
        <v>252</v>
      </c>
      <c r="B153" t="s">
        <v>15</v>
      </c>
      <c r="C153">
        <v>34</v>
      </c>
      <c r="D153" t="s">
        <v>16</v>
      </c>
      <c r="E153" t="s">
        <v>17</v>
      </c>
      <c r="F153" s="2">
        <v>790.2</v>
      </c>
      <c r="G153">
        <v>11</v>
      </c>
      <c r="H153">
        <v>4</v>
      </c>
      <c r="I153" t="b">
        <v>0</v>
      </c>
      <c r="J153" s="12">
        <v>15</v>
      </c>
      <c r="K153" t="s">
        <v>18</v>
      </c>
      <c r="L153" s="12" t="str">
        <f t="shared" si="4"/>
        <v>3-weeks</v>
      </c>
      <c r="M153" t="str">
        <f t="shared" si="5"/>
        <v>No Risk</v>
      </c>
    </row>
    <row r="154" spans="1:13" x14ac:dyDescent="0.35">
      <c r="A154">
        <v>253</v>
      </c>
      <c r="B154" t="s">
        <v>11</v>
      </c>
      <c r="C154">
        <v>43</v>
      </c>
      <c r="D154" t="s">
        <v>19</v>
      </c>
      <c r="E154" t="s">
        <v>20</v>
      </c>
      <c r="F154" s="2">
        <v>505.75</v>
      </c>
      <c r="G154">
        <v>10</v>
      </c>
      <c r="H154">
        <v>3.3</v>
      </c>
      <c r="I154" t="b">
        <v>1</v>
      </c>
      <c r="J154" s="12">
        <v>39</v>
      </c>
      <c r="K154" t="s">
        <v>21</v>
      </c>
      <c r="L154" s="12" t="str">
        <f t="shared" si="4"/>
        <v>6-weeks</v>
      </c>
      <c r="M154" t="str">
        <f t="shared" si="5"/>
        <v>At Risk</v>
      </c>
    </row>
    <row r="155" spans="1:13" x14ac:dyDescent="0.35">
      <c r="A155">
        <v>254</v>
      </c>
      <c r="B155" t="s">
        <v>15</v>
      </c>
      <c r="C155">
        <v>30</v>
      </c>
      <c r="D155" t="s">
        <v>22</v>
      </c>
      <c r="E155" t="s">
        <v>13</v>
      </c>
      <c r="F155" s="2">
        <v>1470.5</v>
      </c>
      <c r="G155">
        <v>20</v>
      </c>
      <c r="H155">
        <v>4.8</v>
      </c>
      <c r="I155" t="b">
        <v>0</v>
      </c>
      <c r="J155" s="12">
        <v>13</v>
      </c>
      <c r="K155" t="s">
        <v>14</v>
      </c>
      <c r="L155" s="12" t="str">
        <f t="shared" si="4"/>
        <v>2-weeks</v>
      </c>
      <c r="M155" t="str">
        <f t="shared" si="5"/>
        <v>No Risk</v>
      </c>
    </row>
    <row r="156" spans="1:13" x14ac:dyDescent="0.35">
      <c r="A156">
        <v>255</v>
      </c>
      <c r="B156" t="s">
        <v>15</v>
      </c>
      <c r="C156">
        <v>27</v>
      </c>
      <c r="D156" t="s">
        <v>23</v>
      </c>
      <c r="E156" t="s">
        <v>17</v>
      </c>
      <c r="F156" s="2">
        <v>710.4</v>
      </c>
      <c r="G156">
        <v>13</v>
      </c>
      <c r="H156">
        <v>4.0999999999999996</v>
      </c>
      <c r="I156" t="b">
        <v>1</v>
      </c>
      <c r="J156" s="12">
        <v>54</v>
      </c>
      <c r="K156" t="s">
        <v>21</v>
      </c>
      <c r="L156" s="12" t="str">
        <f t="shared" si="4"/>
        <v>8-weeks</v>
      </c>
      <c r="M156" t="str">
        <f t="shared" si="5"/>
        <v>At Risk</v>
      </c>
    </row>
    <row r="157" spans="1:13" x14ac:dyDescent="0.35">
      <c r="A157">
        <v>256</v>
      </c>
      <c r="B157" t="s">
        <v>11</v>
      </c>
      <c r="C157">
        <v>37</v>
      </c>
      <c r="D157" t="s">
        <v>24</v>
      </c>
      <c r="E157" t="s">
        <v>20</v>
      </c>
      <c r="F157" s="2">
        <v>430.8</v>
      </c>
      <c r="G157">
        <v>7</v>
      </c>
      <c r="H157">
        <v>3.4</v>
      </c>
      <c r="I157" t="b">
        <v>0</v>
      </c>
      <c r="J157" s="12">
        <v>23</v>
      </c>
      <c r="K157" t="s">
        <v>18</v>
      </c>
      <c r="L157" s="12" t="str">
        <f t="shared" si="4"/>
        <v>4-weeks</v>
      </c>
      <c r="M157" t="str">
        <f t="shared" si="5"/>
        <v>No Risk</v>
      </c>
    </row>
    <row r="158" spans="1:13" x14ac:dyDescent="0.35">
      <c r="A158">
        <v>257</v>
      </c>
      <c r="B158" t="s">
        <v>11</v>
      </c>
      <c r="C158">
        <v>31</v>
      </c>
      <c r="D158" t="s">
        <v>12</v>
      </c>
      <c r="E158" t="s">
        <v>13</v>
      </c>
      <c r="F158" s="2">
        <v>1140.5999999999999</v>
      </c>
      <c r="G158">
        <v>15</v>
      </c>
      <c r="H158">
        <v>4.5999999999999996</v>
      </c>
      <c r="I158" t="b">
        <v>1</v>
      </c>
      <c r="J158" s="12">
        <v>27</v>
      </c>
      <c r="K158" t="s">
        <v>14</v>
      </c>
      <c r="L158" s="12" t="str">
        <f t="shared" si="4"/>
        <v>4-weeks</v>
      </c>
      <c r="M158" t="str">
        <f t="shared" si="5"/>
        <v>No Risk</v>
      </c>
    </row>
    <row r="159" spans="1:13" x14ac:dyDescent="0.35">
      <c r="A159">
        <v>258</v>
      </c>
      <c r="B159" t="s">
        <v>15</v>
      </c>
      <c r="C159">
        <v>35</v>
      </c>
      <c r="D159" t="s">
        <v>16</v>
      </c>
      <c r="E159" t="s">
        <v>17</v>
      </c>
      <c r="F159" s="2">
        <v>810.9</v>
      </c>
      <c r="G159">
        <v>12</v>
      </c>
      <c r="H159">
        <v>4.3</v>
      </c>
      <c r="I159" t="b">
        <v>0</v>
      </c>
      <c r="J159" s="12">
        <v>13</v>
      </c>
      <c r="K159" t="s">
        <v>18</v>
      </c>
      <c r="L159" s="12" t="str">
        <f t="shared" si="4"/>
        <v>2-weeks</v>
      </c>
      <c r="M159" t="str">
        <f t="shared" si="5"/>
        <v>No Risk</v>
      </c>
    </row>
    <row r="160" spans="1:13" x14ac:dyDescent="0.35">
      <c r="A160">
        <v>259</v>
      </c>
      <c r="B160" t="s">
        <v>11</v>
      </c>
      <c r="C160">
        <v>41</v>
      </c>
      <c r="D160" t="s">
        <v>19</v>
      </c>
      <c r="E160" t="s">
        <v>20</v>
      </c>
      <c r="F160" s="2">
        <v>485.25</v>
      </c>
      <c r="G160">
        <v>9</v>
      </c>
      <c r="H160">
        <v>3.6</v>
      </c>
      <c r="I160" t="b">
        <v>1</v>
      </c>
      <c r="J160" s="12">
        <v>39</v>
      </c>
      <c r="K160" t="s">
        <v>21</v>
      </c>
      <c r="L160" s="12" t="str">
        <f t="shared" si="4"/>
        <v>6-weeks</v>
      </c>
      <c r="M160" t="str">
        <f t="shared" si="5"/>
        <v>At Risk</v>
      </c>
    </row>
    <row r="161" spans="1:13" x14ac:dyDescent="0.35">
      <c r="A161">
        <v>260</v>
      </c>
      <c r="B161" t="s">
        <v>15</v>
      </c>
      <c r="C161">
        <v>28</v>
      </c>
      <c r="D161" t="s">
        <v>22</v>
      </c>
      <c r="E161" t="s">
        <v>13</v>
      </c>
      <c r="F161" s="2">
        <v>1500.1</v>
      </c>
      <c r="G161">
        <v>21</v>
      </c>
      <c r="H161">
        <v>4.9000000000000004</v>
      </c>
      <c r="I161" t="b">
        <v>0</v>
      </c>
      <c r="J161" s="12">
        <v>10</v>
      </c>
      <c r="K161" t="s">
        <v>14</v>
      </c>
      <c r="L161" s="12" t="str">
        <f t="shared" si="4"/>
        <v>2-weeks</v>
      </c>
      <c r="M161" t="str">
        <f t="shared" si="5"/>
        <v>No Risk</v>
      </c>
    </row>
    <row r="162" spans="1:13" x14ac:dyDescent="0.35">
      <c r="A162">
        <v>261</v>
      </c>
      <c r="B162" t="s">
        <v>15</v>
      </c>
      <c r="C162">
        <v>32</v>
      </c>
      <c r="D162" t="s">
        <v>23</v>
      </c>
      <c r="E162" t="s">
        <v>17</v>
      </c>
      <c r="F162" s="2">
        <v>670.3</v>
      </c>
      <c r="G162">
        <v>10</v>
      </c>
      <c r="H162">
        <v>3.8</v>
      </c>
      <c r="I162" t="b">
        <v>1</v>
      </c>
      <c r="J162" s="12">
        <v>33</v>
      </c>
      <c r="K162" t="s">
        <v>21</v>
      </c>
      <c r="L162" s="12" t="str">
        <f t="shared" si="4"/>
        <v>5-weeks</v>
      </c>
      <c r="M162" t="str">
        <f t="shared" si="5"/>
        <v>At Risk</v>
      </c>
    </row>
    <row r="163" spans="1:13" x14ac:dyDescent="0.35">
      <c r="A163">
        <v>262</v>
      </c>
      <c r="B163" t="s">
        <v>11</v>
      </c>
      <c r="C163">
        <v>36</v>
      </c>
      <c r="D163" t="s">
        <v>24</v>
      </c>
      <c r="E163" t="s">
        <v>20</v>
      </c>
      <c r="F163" s="2">
        <v>460.5</v>
      </c>
      <c r="G163">
        <v>8</v>
      </c>
      <c r="H163">
        <v>3.1</v>
      </c>
      <c r="I163" t="b">
        <v>0</v>
      </c>
      <c r="J163" s="12">
        <v>19</v>
      </c>
      <c r="K163" t="s">
        <v>18</v>
      </c>
      <c r="L163" s="12" t="str">
        <f t="shared" si="4"/>
        <v>3-weeks</v>
      </c>
      <c r="M163" t="str">
        <f t="shared" si="5"/>
        <v>No Risk</v>
      </c>
    </row>
    <row r="164" spans="1:13" x14ac:dyDescent="0.35">
      <c r="A164">
        <v>263</v>
      </c>
      <c r="B164" t="s">
        <v>11</v>
      </c>
      <c r="C164">
        <v>30</v>
      </c>
      <c r="D164" t="s">
        <v>12</v>
      </c>
      <c r="E164" t="s">
        <v>13</v>
      </c>
      <c r="F164" s="2">
        <v>1190.8</v>
      </c>
      <c r="G164">
        <v>16</v>
      </c>
      <c r="H164">
        <v>4.5</v>
      </c>
      <c r="I164" t="b">
        <v>1</v>
      </c>
      <c r="J164" s="12">
        <v>20</v>
      </c>
      <c r="K164" t="s">
        <v>14</v>
      </c>
      <c r="L164" s="12" t="str">
        <f t="shared" si="4"/>
        <v>3-weeks</v>
      </c>
      <c r="M164" t="str">
        <f t="shared" si="5"/>
        <v>No Risk</v>
      </c>
    </row>
    <row r="165" spans="1:13" x14ac:dyDescent="0.35">
      <c r="A165">
        <v>264</v>
      </c>
      <c r="B165" t="s">
        <v>15</v>
      </c>
      <c r="C165">
        <v>33</v>
      </c>
      <c r="D165" t="s">
        <v>16</v>
      </c>
      <c r="E165" t="s">
        <v>17</v>
      </c>
      <c r="F165" s="2">
        <v>830.75</v>
      </c>
      <c r="G165">
        <v>13</v>
      </c>
      <c r="H165">
        <v>4.2</v>
      </c>
      <c r="I165" t="b">
        <v>0</v>
      </c>
      <c r="J165" s="12">
        <v>14</v>
      </c>
      <c r="K165" t="s">
        <v>14</v>
      </c>
      <c r="L165" s="12" t="str">
        <f t="shared" si="4"/>
        <v>2-weeks</v>
      </c>
      <c r="M165" t="str">
        <f t="shared" si="5"/>
        <v>No Risk</v>
      </c>
    </row>
    <row r="166" spans="1:13" x14ac:dyDescent="0.35">
      <c r="A166">
        <v>265</v>
      </c>
      <c r="B166" t="s">
        <v>11</v>
      </c>
      <c r="C166">
        <v>42</v>
      </c>
      <c r="D166" t="s">
        <v>19</v>
      </c>
      <c r="E166" t="s">
        <v>20</v>
      </c>
      <c r="F166" s="2">
        <v>520.4</v>
      </c>
      <c r="G166">
        <v>9</v>
      </c>
      <c r="H166">
        <v>3.5</v>
      </c>
      <c r="I166" t="b">
        <v>1</v>
      </c>
      <c r="J166" s="12">
        <v>37</v>
      </c>
      <c r="K166" t="s">
        <v>21</v>
      </c>
      <c r="L166" s="12" t="str">
        <f t="shared" si="4"/>
        <v>6-weeks</v>
      </c>
      <c r="M166" t="str">
        <f t="shared" si="5"/>
        <v>At Risk</v>
      </c>
    </row>
    <row r="167" spans="1:13" x14ac:dyDescent="0.35">
      <c r="A167">
        <v>266</v>
      </c>
      <c r="B167" t="s">
        <v>15</v>
      </c>
      <c r="C167">
        <v>29</v>
      </c>
      <c r="D167" t="s">
        <v>22</v>
      </c>
      <c r="E167" t="s">
        <v>13</v>
      </c>
      <c r="F167" s="2">
        <v>1370.2</v>
      </c>
      <c r="G167">
        <v>18</v>
      </c>
      <c r="H167">
        <v>4.7</v>
      </c>
      <c r="I167" t="b">
        <v>0</v>
      </c>
      <c r="J167" s="12">
        <v>10</v>
      </c>
      <c r="K167" t="s">
        <v>14</v>
      </c>
      <c r="L167" s="12" t="str">
        <f t="shared" si="4"/>
        <v>2-weeks</v>
      </c>
      <c r="M167" t="str">
        <f t="shared" si="5"/>
        <v>No Risk</v>
      </c>
    </row>
    <row r="168" spans="1:13" x14ac:dyDescent="0.35">
      <c r="A168">
        <v>267</v>
      </c>
      <c r="B168" t="s">
        <v>15</v>
      </c>
      <c r="C168">
        <v>26</v>
      </c>
      <c r="D168" t="s">
        <v>23</v>
      </c>
      <c r="E168" t="s">
        <v>17</v>
      </c>
      <c r="F168" s="2">
        <v>690.6</v>
      </c>
      <c r="G168">
        <v>12</v>
      </c>
      <c r="H168">
        <v>3.9</v>
      </c>
      <c r="I168" t="b">
        <v>1</v>
      </c>
      <c r="J168" s="12">
        <v>47</v>
      </c>
      <c r="K168" t="s">
        <v>21</v>
      </c>
      <c r="L168" s="12" t="str">
        <f t="shared" si="4"/>
        <v>7-weeks</v>
      </c>
      <c r="M168" t="str">
        <f t="shared" si="5"/>
        <v>At Risk</v>
      </c>
    </row>
    <row r="169" spans="1:13" x14ac:dyDescent="0.35">
      <c r="A169">
        <v>268</v>
      </c>
      <c r="B169" t="s">
        <v>11</v>
      </c>
      <c r="C169">
        <v>38</v>
      </c>
      <c r="D169" t="s">
        <v>24</v>
      </c>
      <c r="E169" t="s">
        <v>20</v>
      </c>
      <c r="F169" s="2">
        <v>440.9</v>
      </c>
      <c r="G169">
        <v>8</v>
      </c>
      <c r="H169">
        <v>3.2</v>
      </c>
      <c r="I169" t="b">
        <v>0</v>
      </c>
      <c r="J169" s="12">
        <v>24</v>
      </c>
      <c r="K169" t="s">
        <v>18</v>
      </c>
      <c r="L169" s="12" t="str">
        <f t="shared" si="4"/>
        <v>4-weeks</v>
      </c>
      <c r="M169" t="str">
        <f t="shared" si="5"/>
        <v>No Risk</v>
      </c>
    </row>
    <row r="170" spans="1:13" x14ac:dyDescent="0.35">
      <c r="A170">
        <v>269</v>
      </c>
      <c r="B170" t="s">
        <v>11</v>
      </c>
      <c r="C170">
        <v>32</v>
      </c>
      <c r="D170" t="s">
        <v>12</v>
      </c>
      <c r="E170" t="s">
        <v>13</v>
      </c>
      <c r="F170" s="2">
        <v>1160.3</v>
      </c>
      <c r="G170">
        <v>14</v>
      </c>
      <c r="H170">
        <v>4.4000000000000004</v>
      </c>
      <c r="I170" t="b">
        <v>1</v>
      </c>
      <c r="J170" s="12">
        <v>22</v>
      </c>
      <c r="K170" t="s">
        <v>14</v>
      </c>
      <c r="L170" s="12" t="str">
        <f t="shared" si="4"/>
        <v>4-weeks</v>
      </c>
      <c r="M170" t="str">
        <f t="shared" si="5"/>
        <v>No Risk</v>
      </c>
    </row>
    <row r="171" spans="1:13" x14ac:dyDescent="0.35">
      <c r="A171">
        <v>270</v>
      </c>
      <c r="B171" t="s">
        <v>15</v>
      </c>
      <c r="C171">
        <v>34</v>
      </c>
      <c r="D171" t="s">
        <v>16</v>
      </c>
      <c r="E171" t="s">
        <v>17</v>
      </c>
      <c r="F171" s="2">
        <v>800.2</v>
      </c>
      <c r="G171">
        <v>11</v>
      </c>
      <c r="H171">
        <v>4.0999999999999996</v>
      </c>
      <c r="I171" t="b">
        <v>0</v>
      </c>
      <c r="J171" s="12">
        <v>17</v>
      </c>
      <c r="K171" t="s">
        <v>18</v>
      </c>
      <c r="L171" s="12" t="str">
        <f t="shared" si="4"/>
        <v>3-weeks</v>
      </c>
      <c r="M171" t="str">
        <f t="shared" si="5"/>
        <v>No Risk</v>
      </c>
    </row>
    <row r="172" spans="1:13" x14ac:dyDescent="0.35">
      <c r="A172">
        <v>271</v>
      </c>
      <c r="B172" t="s">
        <v>11</v>
      </c>
      <c r="C172">
        <v>43</v>
      </c>
      <c r="D172" t="s">
        <v>19</v>
      </c>
      <c r="E172" t="s">
        <v>20</v>
      </c>
      <c r="F172" s="2">
        <v>500.75</v>
      </c>
      <c r="G172">
        <v>10</v>
      </c>
      <c r="H172">
        <v>3.3</v>
      </c>
      <c r="I172" t="b">
        <v>1</v>
      </c>
      <c r="J172" s="12">
        <v>40</v>
      </c>
      <c r="K172" t="s">
        <v>21</v>
      </c>
      <c r="L172" s="12" t="str">
        <f t="shared" si="4"/>
        <v>6-weeks</v>
      </c>
      <c r="M172" t="str">
        <f t="shared" si="5"/>
        <v>At Risk</v>
      </c>
    </row>
    <row r="173" spans="1:13" x14ac:dyDescent="0.35">
      <c r="A173">
        <v>272</v>
      </c>
      <c r="B173" t="s">
        <v>15</v>
      </c>
      <c r="C173">
        <v>30</v>
      </c>
      <c r="D173" t="s">
        <v>22</v>
      </c>
      <c r="E173" t="s">
        <v>13</v>
      </c>
      <c r="F173" s="2">
        <v>1460.5</v>
      </c>
      <c r="G173">
        <v>20</v>
      </c>
      <c r="H173">
        <v>4.8</v>
      </c>
      <c r="I173" t="b">
        <v>0</v>
      </c>
      <c r="J173" s="12">
        <v>12</v>
      </c>
      <c r="K173" t="s">
        <v>14</v>
      </c>
      <c r="L173" s="12" t="str">
        <f t="shared" si="4"/>
        <v>2-weeks</v>
      </c>
      <c r="M173" t="str">
        <f t="shared" si="5"/>
        <v>No Risk</v>
      </c>
    </row>
    <row r="174" spans="1:13" x14ac:dyDescent="0.35">
      <c r="A174">
        <v>273</v>
      </c>
      <c r="B174" t="s">
        <v>15</v>
      </c>
      <c r="C174">
        <v>27</v>
      </c>
      <c r="D174" t="s">
        <v>23</v>
      </c>
      <c r="E174" t="s">
        <v>17</v>
      </c>
      <c r="F174" s="2">
        <v>700.4</v>
      </c>
      <c r="G174">
        <v>13</v>
      </c>
      <c r="H174">
        <v>4</v>
      </c>
      <c r="I174" t="b">
        <v>1</v>
      </c>
      <c r="J174" s="12">
        <v>53</v>
      </c>
      <c r="K174" t="s">
        <v>21</v>
      </c>
      <c r="L174" s="12" t="str">
        <f t="shared" si="4"/>
        <v>8-weeks</v>
      </c>
      <c r="M174" t="str">
        <f t="shared" si="5"/>
        <v>At Risk</v>
      </c>
    </row>
    <row r="175" spans="1:13" x14ac:dyDescent="0.35">
      <c r="A175">
        <v>274</v>
      </c>
      <c r="B175" t="s">
        <v>11</v>
      </c>
      <c r="C175">
        <v>37</v>
      </c>
      <c r="D175" t="s">
        <v>24</v>
      </c>
      <c r="E175" t="s">
        <v>20</v>
      </c>
      <c r="F175" s="2">
        <v>430.8</v>
      </c>
      <c r="G175">
        <v>7</v>
      </c>
      <c r="H175">
        <v>3.4</v>
      </c>
      <c r="I175" t="b">
        <v>0</v>
      </c>
      <c r="J175" s="12">
        <v>23</v>
      </c>
      <c r="K175" t="s">
        <v>18</v>
      </c>
      <c r="L175" s="12" t="str">
        <f t="shared" si="4"/>
        <v>4-weeks</v>
      </c>
      <c r="M175" t="str">
        <f t="shared" si="5"/>
        <v>No Risk</v>
      </c>
    </row>
    <row r="176" spans="1:13" x14ac:dyDescent="0.35">
      <c r="A176">
        <v>275</v>
      </c>
      <c r="B176" t="s">
        <v>11</v>
      </c>
      <c r="C176">
        <v>31</v>
      </c>
      <c r="D176" t="s">
        <v>12</v>
      </c>
      <c r="E176" t="s">
        <v>13</v>
      </c>
      <c r="F176" s="2">
        <v>1140.5999999999999</v>
      </c>
      <c r="G176">
        <v>15</v>
      </c>
      <c r="H176">
        <v>4.5</v>
      </c>
      <c r="I176" t="b">
        <v>1</v>
      </c>
      <c r="J176" s="12">
        <v>27</v>
      </c>
      <c r="K176" t="s">
        <v>14</v>
      </c>
      <c r="L176" s="12" t="str">
        <f t="shared" si="4"/>
        <v>4-weeks</v>
      </c>
      <c r="M176" t="str">
        <f t="shared" si="5"/>
        <v>No Risk</v>
      </c>
    </row>
    <row r="177" spans="1:13" x14ac:dyDescent="0.35">
      <c r="A177">
        <v>276</v>
      </c>
      <c r="B177" t="s">
        <v>15</v>
      </c>
      <c r="C177">
        <v>35</v>
      </c>
      <c r="D177" t="s">
        <v>16</v>
      </c>
      <c r="E177" t="s">
        <v>17</v>
      </c>
      <c r="F177" s="2">
        <v>820.9</v>
      </c>
      <c r="G177">
        <v>12</v>
      </c>
      <c r="H177">
        <v>4.3</v>
      </c>
      <c r="I177" t="b">
        <v>0</v>
      </c>
      <c r="J177" s="12">
        <v>12</v>
      </c>
      <c r="K177" t="s">
        <v>18</v>
      </c>
      <c r="L177" s="12" t="str">
        <f t="shared" si="4"/>
        <v>2-weeks</v>
      </c>
      <c r="M177" t="str">
        <f t="shared" si="5"/>
        <v>No Risk</v>
      </c>
    </row>
    <row r="178" spans="1:13" x14ac:dyDescent="0.35">
      <c r="A178">
        <v>277</v>
      </c>
      <c r="B178" t="s">
        <v>11</v>
      </c>
      <c r="C178">
        <v>41</v>
      </c>
      <c r="D178" t="s">
        <v>19</v>
      </c>
      <c r="E178" t="s">
        <v>20</v>
      </c>
      <c r="F178" s="2">
        <v>480.25</v>
      </c>
      <c r="G178">
        <v>9</v>
      </c>
      <c r="H178">
        <v>3.6</v>
      </c>
      <c r="I178" t="b">
        <v>1</v>
      </c>
      <c r="J178" s="12">
        <v>38</v>
      </c>
      <c r="K178" t="s">
        <v>21</v>
      </c>
      <c r="L178" s="12" t="str">
        <f t="shared" si="4"/>
        <v>6-weeks</v>
      </c>
      <c r="M178" t="str">
        <f t="shared" si="5"/>
        <v>At Risk</v>
      </c>
    </row>
    <row r="179" spans="1:13" x14ac:dyDescent="0.35">
      <c r="A179">
        <v>278</v>
      </c>
      <c r="B179" t="s">
        <v>15</v>
      </c>
      <c r="C179">
        <v>28</v>
      </c>
      <c r="D179" t="s">
        <v>22</v>
      </c>
      <c r="E179" t="s">
        <v>13</v>
      </c>
      <c r="F179" s="2">
        <v>1490.1</v>
      </c>
      <c r="G179">
        <v>21</v>
      </c>
      <c r="H179">
        <v>4.9000000000000004</v>
      </c>
      <c r="I179" t="b">
        <v>0</v>
      </c>
      <c r="J179" s="12">
        <v>9</v>
      </c>
      <c r="K179" t="s">
        <v>14</v>
      </c>
      <c r="L179" s="12" t="str">
        <f t="shared" si="4"/>
        <v>2-weeks</v>
      </c>
      <c r="M179" t="str">
        <f t="shared" si="5"/>
        <v>No Risk</v>
      </c>
    </row>
    <row r="180" spans="1:13" x14ac:dyDescent="0.35">
      <c r="A180">
        <v>279</v>
      </c>
      <c r="B180" t="s">
        <v>15</v>
      </c>
      <c r="C180">
        <v>32</v>
      </c>
      <c r="D180" t="s">
        <v>23</v>
      </c>
      <c r="E180" t="s">
        <v>17</v>
      </c>
      <c r="F180" s="2">
        <v>680.3</v>
      </c>
      <c r="G180">
        <v>10</v>
      </c>
      <c r="H180">
        <v>3.8</v>
      </c>
      <c r="I180" t="b">
        <v>1</v>
      </c>
      <c r="J180" s="12">
        <v>32</v>
      </c>
      <c r="K180" t="s">
        <v>21</v>
      </c>
      <c r="L180" s="12" t="str">
        <f t="shared" si="4"/>
        <v>5-weeks</v>
      </c>
      <c r="M180" t="str">
        <f t="shared" si="5"/>
        <v>At Risk</v>
      </c>
    </row>
    <row r="181" spans="1:13" x14ac:dyDescent="0.35">
      <c r="A181">
        <v>280</v>
      </c>
      <c r="B181" t="s">
        <v>11</v>
      </c>
      <c r="C181">
        <v>36</v>
      </c>
      <c r="D181" t="s">
        <v>24</v>
      </c>
      <c r="E181" t="s">
        <v>20</v>
      </c>
      <c r="F181" s="2">
        <v>470.5</v>
      </c>
      <c r="G181">
        <v>8</v>
      </c>
      <c r="H181">
        <v>3</v>
      </c>
      <c r="I181" t="b">
        <v>0</v>
      </c>
      <c r="J181" s="12">
        <v>18</v>
      </c>
      <c r="K181" t="s">
        <v>18</v>
      </c>
      <c r="L181" s="12" t="str">
        <f t="shared" si="4"/>
        <v>3-weeks</v>
      </c>
      <c r="M181" t="str">
        <f t="shared" si="5"/>
        <v>No Risk</v>
      </c>
    </row>
    <row r="182" spans="1:13" x14ac:dyDescent="0.35">
      <c r="A182">
        <v>281</v>
      </c>
      <c r="B182" t="s">
        <v>11</v>
      </c>
      <c r="C182">
        <v>30</v>
      </c>
      <c r="D182" t="s">
        <v>12</v>
      </c>
      <c r="E182" t="s">
        <v>13</v>
      </c>
      <c r="F182" s="2">
        <v>1180.8</v>
      </c>
      <c r="G182">
        <v>16</v>
      </c>
      <c r="H182">
        <v>4.7</v>
      </c>
      <c r="I182" t="b">
        <v>1</v>
      </c>
      <c r="J182" s="12">
        <v>19</v>
      </c>
      <c r="K182" t="s">
        <v>14</v>
      </c>
      <c r="L182" s="12" t="str">
        <f t="shared" si="4"/>
        <v>3-weeks</v>
      </c>
      <c r="M182" t="str">
        <f t="shared" si="5"/>
        <v>No Risk</v>
      </c>
    </row>
    <row r="183" spans="1:13" x14ac:dyDescent="0.35">
      <c r="A183">
        <v>282</v>
      </c>
      <c r="B183" t="s">
        <v>15</v>
      </c>
      <c r="C183">
        <v>34</v>
      </c>
      <c r="D183" t="s">
        <v>16</v>
      </c>
      <c r="E183" t="s">
        <v>17</v>
      </c>
      <c r="F183" s="2">
        <v>790.2</v>
      </c>
      <c r="G183">
        <v>11</v>
      </c>
      <c r="H183">
        <v>4</v>
      </c>
      <c r="I183" t="b">
        <v>0</v>
      </c>
      <c r="J183" s="12">
        <v>15</v>
      </c>
      <c r="K183" t="s">
        <v>18</v>
      </c>
      <c r="L183" s="12" t="str">
        <f t="shared" si="4"/>
        <v>3-weeks</v>
      </c>
      <c r="M183" t="str">
        <f t="shared" si="5"/>
        <v>No Risk</v>
      </c>
    </row>
    <row r="184" spans="1:13" x14ac:dyDescent="0.35">
      <c r="A184">
        <v>283</v>
      </c>
      <c r="B184" t="s">
        <v>11</v>
      </c>
      <c r="C184">
        <v>43</v>
      </c>
      <c r="D184" t="s">
        <v>19</v>
      </c>
      <c r="E184" t="s">
        <v>20</v>
      </c>
      <c r="F184" s="2">
        <v>505.75</v>
      </c>
      <c r="G184">
        <v>10</v>
      </c>
      <c r="H184">
        <v>3.3</v>
      </c>
      <c r="I184" t="b">
        <v>1</v>
      </c>
      <c r="J184" s="12">
        <v>39</v>
      </c>
      <c r="K184" t="s">
        <v>21</v>
      </c>
      <c r="L184" s="12" t="str">
        <f t="shared" si="4"/>
        <v>6-weeks</v>
      </c>
      <c r="M184" t="str">
        <f t="shared" si="5"/>
        <v>At Risk</v>
      </c>
    </row>
    <row r="185" spans="1:13" x14ac:dyDescent="0.35">
      <c r="A185">
        <v>284</v>
      </c>
      <c r="B185" t="s">
        <v>15</v>
      </c>
      <c r="C185">
        <v>30</v>
      </c>
      <c r="D185" t="s">
        <v>22</v>
      </c>
      <c r="E185" t="s">
        <v>13</v>
      </c>
      <c r="F185" s="2">
        <v>1470.5</v>
      </c>
      <c r="G185">
        <v>20</v>
      </c>
      <c r="H185">
        <v>4.8</v>
      </c>
      <c r="I185" t="b">
        <v>0</v>
      </c>
      <c r="J185" s="12">
        <v>13</v>
      </c>
      <c r="K185" t="s">
        <v>14</v>
      </c>
      <c r="L185" s="12" t="str">
        <f t="shared" si="4"/>
        <v>2-weeks</v>
      </c>
      <c r="M185" t="str">
        <f t="shared" si="5"/>
        <v>No Risk</v>
      </c>
    </row>
    <row r="186" spans="1:13" x14ac:dyDescent="0.35">
      <c r="A186">
        <v>285</v>
      </c>
      <c r="B186" t="s">
        <v>15</v>
      </c>
      <c r="C186">
        <v>27</v>
      </c>
      <c r="D186" t="s">
        <v>23</v>
      </c>
      <c r="E186" t="s">
        <v>17</v>
      </c>
      <c r="F186" s="2">
        <v>710.4</v>
      </c>
      <c r="G186">
        <v>13</v>
      </c>
      <c r="H186">
        <v>4.0999999999999996</v>
      </c>
      <c r="I186" t="b">
        <v>1</v>
      </c>
      <c r="J186" s="12">
        <v>54</v>
      </c>
      <c r="K186" t="s">
        <v>21</v>
      </c>
      <c r="L186" s="12" t="str">
        <f t="shared" si="4"/>
        <v>8-weeks</v>
      </c>
      <c r="M186" t="str">
        <f t="shared" si="5"/>
        <v>At Risk</v>
      </c>
    </row>
    <row r="187" spans="1:13" x14ac:dyDescent="0.35">
      <c r="A187">
        <v>286</v>
      </c>
      <c r="B187" t="s">
        <v>11</v>
      </c>
      <c r="C187">
        <v>37</v>
      </c>
      <c r="D187" t="s">
        <v>24</v>
      </c>
      <c r="E187" t="s">
        <v>20</v>
      </c>
      <c r="F187" s="2">
        <v>430.8</v>
      </c>
      <c r="G187">
        <v>7</v>
      </c>
      <c r="H187">
        <v>3.4</v>
      </c>
      <c r="I187" t="b">
        <v>0</v>
      </c>
      <c r="J187" s="12">
        <v>23</v>
      </c>
      <c r="K187" t="s">
        <v>18</v>
      </c>
      <c r="L187" s="12" t="str">
        <f t="shared" si="4"/>
        <v>4-weeks</v>
      </c>
      <c r="M187" t="str">
        <f t="shared" si="5"/>
        <v>No Risk</v>
      </c>
    </row>
    <row r="188" spans="1:13" x14ac:dyDescent="0.35">
      <c r="A188">
        <v>287</v>
      </c>
      <c r="B188" t="s">
        <v>11</v>
      </c>
      <c r="C188">
        <v>31</v>
      </c>
      <c r="D188" t="s">
        <v>12</v>
      </c>
      <c r="E188" t="s">
        <v>13</v>
      </c>
      <c r="F188" s="2">
        <v>1130.5999999999999</v>
      </c>
      <c r="G188">
        <v>15</v>
      </c>
      <c r="H188">
        <v>4.5</v>
      </c>
      <c r="I188" t="b">
        <v>1</v>
      </c>
      <c r="J188" s="12">
        <v>26</v>
      </c>
      <c r="K188" t="s">
        <v>14</v>
      </c>
      <c r="L188" s="12" t="str">
        <f t="shared" si="4"/>
        <v>4-weeks</v>
      </c>
      <c r="M188" t="str">
        <f t="shared" si="5"/>
        <v>No Risk</v>
      </c>
    </row>
    <row r="189" spans="1:13" x14ac:dyDescent="0.35">
      <c r="A189">
        <v>288</v>
      </c>
      <c r="B189" t="s">
        <v>15</v>
      </c>
      <c r="C189">
        <v>35</v>
      </c>
      <c r="D189" t="s">
        <v>16</v>
      </c>
      <c r="E189" t="s">
        <v>17</v>
      </c>
      <c r="F189" s="2">
        <v>820.9</v>
      </c>
      <c r="G189">
        <v>12</v>
      </c>
      <c r="H189">
        <v>4.3</v>
      </c>
      <c r="I189" t="b">
        <v>0</v>
      </c>
      <c r="J189" s="12">
        <v>13</v>
      </c>
      <c r="K189" t="s">
        <v>18</v>
      </c>
      <c r="L189" s="12" t="str">
        <f t="shared" si="4"/>
        <v>2-weeks</v>
      </c>
      <c r="M189" t="str">
        <f t="shared" si="5"/>
        <v>No Risk</v>
      </c>
    </row>
    <row r="190" spans="1:13" x14ac:dyDescent="0.35">
      <c r="A190">
        <v>289</v>
      </c>
      <c r="B190" t="s">
        <v>11</v>
      </c>
      <c r="C190">
        <v>41</v>
      </c>
      <c r="D190" t="s">
        <v>19</v>
      </c>
      <c r="E190" t="s">
        <v>20</v>
      </c>
      <c r="F190" s="2">
        <v>485.25</v>
      </c>
      <c r="G190">
        <v>9</v>
      </c>
      <c r="H190">
        <v>3.6</v>
      </c>
      <c r="I190" t="b">
        <v>1</v>
      </c>
      <c r="J190" s="12">
        <v>39</v>
      </c>
      <c r="K190" t="s">
        <v>21</v>
      </c>
      <c r="L190" s="12" t="str">
        <f t="shared" si="4"/>
        <v>6-weeks</v>
      </c>
      <c r="M190" t="str">
        <f t="shared" si="5"/>
        <v>At Risk</v>
      </c>
    </row>
    <row r="191" spans="1:13" x14ac:dyDescent="0.35">
      <c r="A191">
        <v>290</v>
      </c>
      <c r="B191" t="s">
        <v>15</v>
      </c>
      <c r="C191">
        <v>28</v>
      </c>
      <c r="D191" t="s">
        <v>22</v>
      </c>
      <c r="E191" t="s">
        <v>13</v>
      </c>
      <c r="F191" s="2">
        <v>1500.1</v>
      </c>
      <c r="G191">
        <v>21</v>
      </c>
      <c r="H191">
        <v>4.9000000000000004</v>
      </c>
      <c r="I191" t="b">
        <v>0</v>
      </c>
      <c r="J191" s="12">
        <v>10</v>
      </c>
      <c r="K191" t="s">
        <v>14</v>
      </c>
      <c r="L191" s="12" t="str">
        <f t="shared" si="4"/>
        <v>2-weeks</v>
      </c>
      <c r="M191" t="str">
        <f t="shared" si="5"/>
        <v>No Risk</v>
      </c>
    </row>
    <row r="192" spans="1:13" x14ac:dyDescent="0.35">
      <c r="A192">
        <v>291</v>
      </c>
      <c r="B192" t="s">
        <v>15</v>
      </c>
      <c r="C192">
        <v>32</v>
      </c>
      <c r="D192" t="s">
        <v>23</v>
      </c>
      <c r="E192" t="s">
        <v>17</v>
      </c>
      <c r="F192" s="2">
        <v>670.3</v>
      </c>
      <c r="G192">
        <v>10</v>
      </c>
      <c r="H192">
        <v>3.8</v>
      </c>
      <c r="I192" t="b">
        <v>1</v>
      </c>
      <c r="J192" s="12">
        <v>33</v>
      </c>
      <c r="K192" t="s">
        <v>21</v>
      </c>
      <c r="L192" s="12" t="str">
        <f t="shared" si="4"/>
        <v>5-weeks</v>
      </c>
      <c r="M192" t="str">
        <f t="shared" si="5"/>
        <v>At Risk</v>
      </c>
    </row>
    <row r="193" spans="1:13" x14ac:dyDescent="0.35">
      <c r="A193">
        <v>292</v>
      </c>
      <c r="B193" t="s">
        <v>11</v>
      </c>
      <c r="C193">
        <v>36</v>
      </c>
      <c r="D193" t="s">
        <v>24</v>
      </c>
      <c r="E193" t="s">
        <v>20</v>
      </c>
      <c r="F193" s="2">
        <v>460.5</v>
      </c>
      <c r="G193">
        <v>8</v>
      </c>
      <c r="H193">
        <v>3.1</v>
      </c>
      <c r="I193" t="b">
        <v>0</v>
      </c>
      <c r="J193" s="12">
        <v>19</v>
      </c>
      <c r="K193" t="s">
        <v>18</v>
      </c>
      <c r="L193" s="12" t="str">
        <f t="shared" si="4"/>
        <v>3-weeks</v>
      </c>
      <c r="M193" t="str">
        <f t="shared" si="5"/>
        <v>No Risk</v>
      </c>
    </row>
    <row r="194" spans="1:13" x14ac:dyDescent="0.35">
      <c r="A194">
        <v>293</v>
      </c>
      <c r="B194" t="s">
        <v>11</v>
      </c>
      <c r="C194">
        <v>30</v>
      </c>
      <c r="D194" t="s">
        <v>12</v>
      </c>
      <c r="E194" t="s">
        <v>13</v>
      </c>
      <c r="F194" s="2">
        <v>1190.8</v>
      </c>
      <c r="G194">
        <v>16</v>
      </c>
      <c r="H194">
        <v>4.5</v>
      </c>
      <c r="I194" t="b">
        <v>1</v>
      </c>
      <c r="J194" s="12">
        <v>20</v>
      </c>
      <c r="K194" t="s">
        <v>14</v>
      </c>
      <c r="L194" s="12" t="str">
        <f t="shared" ref="L194:L257" si="6">_xlfn.IFS(J194&lt;=7,"1-week",J194&lt;=14,"2-weeks", J194&lt;=21,"3-weeks",J194&lt;=28,"4-weeks",J194&lt;=35,"5-weeks",J194&lt;=42,"6-weeks",J194&lt;=49,"7-weeks",J194&lt;=56,"8-weeks",J194&lt;=63,"9-weeks")</f>
        <v>3-weeks</v>
      </c>
      <c r="M194" t="str">
        <f t="shared" ref="M194:M257" si="7">IF(J194&gt;28, "At Risk", "No Risk")</f>
        <v>No Risk</v>
      </c>
    </row>
    <row r="195" spans="1:13" x14ac:dyDescent="0.35">
      <c r="A195">
        <v>294</v>
      </c>
      <c r="B195" t="s">
        <v>15</v>
      </c>
      <c r="C195">
        <v>33</v>
      </c>
      <c r="D195" t="s">
        <v>16</v>
      </c>
      <c r="E195" t="s">
        <v>17</v>
      </c>
      <c r="F195" s="2">
        <v>830.75</v>
      </c>
      <c r="G195">
        <v>13</v>
      </c>
      <c r="H195">
        <v>4.2</v>
      </c>
      <c r="I195" t="b">
        <v>0</v>
      </c>
      <c r="J195" s="12">
        <v>14</v>
      </c>
      <c r="K195" t="s">
        <v>14</v>
      </c>
      <c r="L195" s="12" t="str">
        <f t="shared" si="6"/>
        <v>2-weeks</v>
      </c>
      <c r="M195" t="str">
        <f t="shared" si="7"/>
        <v>No Risk</v>
      </c>
    </row>
    <row r="196" spans="1:13" x14ac:dyDescent="0.35">
      <c r="A196">
        <v>295</v>
      </c>
      <c r="B196" t="s">
        <v>11</v>
      </c>
      <c r="C196">
        <v>42</v>
      </c>
      <c r="D196" t="s">
        <v>19</v>
      </c>
      <c r="E196" t="s">
        <v>20</v>
      </c>
      <c r="F196" s="2">
        <v>520.4</v>
      </c>
      <c r="G196">
        <v>9</v>
      </c>
      <c r="H196">
        <v>3.5</v>
      </c>
      <c r="I196" t="b">
        <v>1</v>
      </c>
      <c r="J196" s="12">
        <v>37</v>
      </c>
      <c r="K196" t="s">
        <v>21</v>
      </c>
      <c r="L196" s="12" t="str">
        <f t="shared" si="6"/>
        <v>6-weeks</v>
      </c>
      <c r="M196" t="str">
        <f t="shared" si="7"/>
        <v>At Risk</v>
      </c>
    </row>
    <row r="197" spans="1:13" x14ac:dyDescent="0.35">
      <c r="A197">
        <v>296</v>
      </c>
      <c r="B197" t="s">
        <v>15</v>
      </c>
      <c r="C197">
        <v>29</v>
      </c>
      <c r="D197" t="s">
        <v>22</v>
      </c>
      <c r="E197" t="s">
        <v>13</v>
      </c>
      <c r="F197" s="2">
        <v>1370.2</v>
      </c>
      <c r="G197">
        <v>18</v>
      </c>
      <c r="H197">
        <v>4.7</v>
      </c>
      <c r="I197" t="b">
        <v>0</v>
      </c>
      <c r="J197" s="12">
        <v>10</v>
      </c>
      <c r="K197" t="s">
        <v>14</v>
      </c>
      <c r="L197" s="12" t="str">
        <f t="shared" si="6"/>
        <v>2-weeks</v>
      </c>
      <c r="M197" t="str">
        <f t="shared" si="7"/>
        <v>No Risk</v>
      </c>
    </row>
    <row r="198" spans="1:13" x14ac:dyDescent="0.35">
      <c r="A198">
        <v>297</v>
      </c>
      <c r="B198" t="s">
        <v>15</v>
      </c>
      <c r="C198">
        <v>26</v>
      </c>
      <c r="D198" t="s">
        <v>23</v>
      </c>
      <c r="E198" t="s">
        <v>17</v>
      </c>
      <c r="F198" s="2">
        <v>690.6</v>
      </c>
      <c r="G198">
        <v>12</v>
      </c>
      <c r="H198">
        <v>3.9</v>
      </c>
      <c r="I198" t="b">
        <v>1</v>
      </c>
      <c r="J198" s="12">
        <v>47</v>
      </c>
      <c r="K198" t="s">
        <v>21</v>
      </c>
      <c r="L198" s="12" t="str">
        <f t="shared" si="6"/>
        <v>7-weeks</v>
      </c>
      <c r="M198" t="str">
        <f t="shared" si="7"/>
        <v>At Risk</v>
      </c>
    </row>
    <row r="199" spans="1:13" x14ac:dyDescent="0.35">
      <c r="A199">
        <v>298</v>
      </c>
      <c r="B199" t="s">
        <v>11</v>
      </c>
      <c r="C199">
        <v>38</v>
      </c>
      <c r="D199" t="s">
        <v>24</v>
      </c>
      <c r="E199" t="s">
        <v>20</v>
      </c>
      <c r="F199" s="2">
        <v>440.9</v>
      </c>
      <c r="G199">
        <v>8</v>
      </c>
      <c r="H199">
        <v>3.2</v>
      </c>
      <c r="I199" t="b">
        <v>0</v>
      </c>
      <c r="J199" s="12">
        <v>24</v>
      </c>
      <c r="K199" t="s">
        <v>18</v>
      </c>
      <c r="L199" s="12" t="str">
        <f t="shared" si="6"/>
        <v>4-weeks</v>
      </c>
      <c r="M199" t="str">
        <f t="shared" si="7"/>
        <v>No Risk</v>
      </c>
    </row>
    <row r="200" spans="1:13" x14ac:dyDescent="0.35">
      <c r="A200">
        <v>299</v>
      </c>
      <c r="B200" t="s">
        <v>11</v>
      </c>
      <c r="C200">
        <v>32</v>
      </c>
      <c r="D200" t="s">
        <v>12</v>
      </c>
      <c r="E200" t="s">
        <v>13</v>
      </c>
      <c r="F200" s="2">
        <v>1160.3</v>
      </c>
      <c r="G200">
        <v>14</v>
      </c>
      <c r="H200">
        <v>4.4000000000000004</v>
      </c>
      <c r="I200" t="b">
        <v>1</v>
      </c>
      <c r="J200" s="12">
        <v>22</v>
      </c>
      <c r="K200" t="s">
        <v>14</v>
      </c>
      <c r="L200" s="12" t="str">
        <f t="shared" si="6"/>
        <v>4-weeks</v>
      </c>
      <c r="M200" t="str">
        <f t="shared" si="7"/>
        <v>No Risk</v>
      </c>
    </row>
    <row r="201" spans="1:13" x14ac:dyDescent="0.35">
      <c r="A201">
        <v>300</v>
      </c>
      <c r="B201" t="s">
        <v>15</v>
      </c>
      <c r="C201">
        <v>34</v>
      </c>
      <c r="D201" t="s">
        <v>16</v>
      </c>
      <c r="E201" t="s">
        <v>17</v>
      </c>
      <c r="F201" s="2">
        <v>800.2</v>
      </c>
      <c r="G201">
        <v>11</v>
      </c>
      <c r="H201">
        <v>4.0999999999999996</v>
      </c>
      <c r="I201" t="b">
        <v>0</v>
      </c>
      <c r="J201" s="12">
        <v>17</v>
      </c>
      <c r="K201" t="s">
        <v>18</v>
      </c>
      <c r="L201" s="12" t="str">
        <f t="shared" si="6"/>
        <v>3-weeks</v>
      </c>
      <c r="M201" t="str">
        <f t="shared" si="7"/>
        <v>No Risk</v>
      </c>
    </row>
    <row r="202" spans="1:13" x14ac:dyDescent="0.35">
      <c r="A202">
        <v>301</v>
      </c>
      <c r="B202" t="s">
        <v>15</v>
      </c>
      <c r="C202">
        <v>36</v>
      </c>
      <c r="D202" t="s">
        <v>22</v>
      </c>
      <c r="E202" t="s">
        <v>13</v>
      </c>
      <c r="F202" s="2">
        <v>1420.8</v>
      </c>
      <c r="G202">
        <v>19</v>
      </c>
      <c r="H202">
        <v>4.5999999999999996</v>
      </c>
      <c r="I202" t="b">
        <v>0</v>
      </c>
      <c r="J202" s="12">
        <v>11</v>
      </c>
      <c r="K202" t="s">
        <v>14</v>
      </c>
      <c r="L202" s="12" t="str">
        <f t="shared" si="6"/>
        <v>2-weeks</v>
      </c>
      <c r="M202" t="str">
        <f t="shared" si="7"/>
        <v>No Risk</v>
      </c>
    </row>
    <row r="203" spans="1:13" x14ac:dyDescent="0.35">
      <c r="A203">
        <v>302</v>
      </c>
      <c r="B203" t="s">
        <v>11</v>
      </c>
      <c r="C203">
        <v>29</v>
      </c>
      <c r="D203" t="s">
        <v>23</v>
      </c>
      <c r="E203" t="s">
        <v>17</v>
      </c>
      <c r="F203" s="2">
        <v>730.4</v>
      </c>
      <c r="G203">
        <v>14</v>
      </c>
      <c r="H203">
        <v>4</v>
      </c>
      <c r="I203" t="b">
        <v>1</v>
      </c>
      <c r="J203" s="12">
        <v>50</v>
      </c>
      <c r="K203" t="s">
        <v>21</v>
      </c>
      <c r="L203" s="12" t="str">
        <f t="shared" si="6"/>
        <v>8-weeks</v>
      </c>
      <c r="M203" t="str">
        <f t="shared" si="7"/>
        <v>At Risk</v>
      </c>
    </row>
    <row r="204" spans="1:13" x14ac:dyDescent="0.35">
      <c r="A204">
        <v>303</v>
      </c>
      <c r="B204" t="s">
        <v>11</v>
      </c>
      <c r="C204">
        <v>35</v>
      </c>
      <c r="D204" t="s">
        <v>24</v>
      </c>
      <c r="E204" t="s">
        <v>20</v>
      </c>
      <c r="F204" s="2">
        <v>450.6</v>
      </c>
      <c r="G204">
        <v>7</v>
      </c>
      <c r="H204">
        <v>3.3</v>
      </c>
      <c r="I204" t="b">
        <v>0</v>
      </c>
      <c r="J204" s="12">
        <v>21</v>
      </c>
      <c r="K204" t="s">
        <v>18</v>
      </c>
      <c r="L204" s="12" t="str">
        <f t="shared" si="6"/>
        <v>3-weeks</v>
      </c>
      <c r="M204" t="str">
        <f t="shared" si="7"/>
        <v>No Risk</v>
      </c>
    </row>
    <row r="205" spans="1:13" x14ac:dyDescent="0.35">
      <c r="A205">
        <v>304</v>
      </c>
      <c r="B205" t="s">
        <v>15</v>
      </c>
      <c r="C205">
        <v>31</v>
      </c>
      <c r="D205" t="s">
        <v>12</v>
      </c>
      <c r="E205" t="s">
        <v>13</v>
      </c>
      <c r="F205" s="2">
        <v>1210.5999999999999</v>
      </c>
      <c r="G205">
        <v>17</v>
      </c>
      <c r="H205">
        <v>4.8</v>
      </c>
      <c r="I205" t="b">
        <v>1</v>
      </c>
      <c r="J205" s="12">
        <v>18</v>
      </c>
      <c r="K205" t="s">
        <v>14</v>
      </c>
      <c r="L205" s="12" t="str">
        <f t="shared" si="6"/>
        <v>3-weeks</v>
      </c>
      <c r="M205" t="str">
        <f t="shared" si="7"/>
        <v>No Risk</v>
      </c>
    </row>
    <row r="206" spans="1:13" x14ac:dyDescent="0.35">
      <c r="A206">
        <v>305</v>
      </c>
      <c r="B206" t="s">
        <v>15</v>
      </c>
      <c r="C206">
        <v>27</v>
      </c>
      <c r="D206" t="s">
        <v>16</v>
      </c>
      <c r="E206" t="s">
        <v>17</v>
      </c>
      <c r="F206" s="2">
        <v>780.9</v>
      </c>
      <c r="G206">
        <v>11</v>
      </c>
      <c r="H206">
        <v>4.2</v>
      </c>
      <c r="I206" t="b">
        <v>0</v>
      </c>
      <c r="J206" s="12">
        <v>16</v>
      </c>
      <c r="K206" t="s">
        <v>18</v>
      </c>
      <c r="L206" s="12" t="str">
        <f t="shared" si="6"/>
        <v>3-weeks</v>
      </c>
      <c r="M206" t="str">
        <f t="shared" si="7"/>
        <v>No Risk</v>
      </c>
    </row>
    <row r="207" spans="1:13" x14ac:dyDescent="0.35">
      <c r="A207">
        <v>306</v>
      </c>
      <c r="B207" t="s">
        <v>11</v>
      </c>
      <c r="C207">
        <v>42</v>
      </c>
      <c r="D207" t="s">
        <v>19</v>
      </c>
      <c r="E207" t="s">
        <v>20</v>
      </c>
      <c r="F207" s="2">
        <v>495.25</v>
      </c>
      <c r="G207">
        <v>10</v>
      </c>
      <c r="H207">
        <v>3.5</v>
      </c>
      <c r="I207" t="b">
        <v>1</v>
      </c>
      <c r="J207" s="12">
        <v>35</v>
      </c>
      <c r="K207" t="s">
        <v>21</v>
      </c>
      <c r="L207" s="12" t="str">
        <f t="shared" si="6"/>
        <v>5-weeks</v>
      </c>
      <c r="M207" t="str">
        <f t="shared" si="7"/>
        <v>At Risk</v>
      </c>
    </row>
    <row r="208" spans="1:13" x14ac:dyDescent="0.35">
      <c r="A208">
        <v>307</v>
      </c>
      <c r="B208" t="s">
        <v>15</v>
      </c>
      <c r="C208">
        <v>29</v>
      </c>
      <c r="D208" t="s">
        <v>22</v>
      </c>
      <c r="E208" t="s">
        <v>13</v>
      </c>
      <c r="F208" s="2">
        <v>1390.2</v>
      </c>
      <c r="G208">
        <v>18</v>
      </c>
      <c r="H208">
        <v>4.7</v>
      </c>
      <c r="I208" t="b">
        <v>0</v>
      </c>
      <c r="J208" s="12">
        <v>9</v>
      </c>
      <c r="K208" t="s">
        <v>14</v>
      </c>
      <c r="L208" s="12" t="str">
        <f t="shared" si="6"/>
        <v>2-weeks</v>
      </c>
      <c r="M208" t="str">
        <f t="shared" si="7"/>
        <v>No Risk</v>
      </c>
    </row>
    <row r="209" spans="1:13" x14ac:dyDescent="0.35">
      <c r="A209">
        <v>308</v>
      </c>
      <c r="B209" t="s">
        <v>15</v>
      </c>
      <c r="C209">
        <v>26</v>
      </c>
      <c r="D209" t="s">
        <v>23</v>
      </c>
      <c r="E209" t="s">
        <v>17</v>
      </c>
      <c r="F209" s="2">
        <v>670.6</v>
      </c>
      <c r="G209">
        <v>12</v>
      </c>
      <c r="H209">
        <v>3.9</v>
      </c>
      <c r="I209" t="b">
        <v>1</v>
      </c>
      <c r="J209" s="12">
        <v>46</v>
      </c>
      <c r="K209" t="s">
        <v>21</v>
      </c>
      <c r="L209" s="12" t="str">
        <f t="shared" si="6"/>
        <v>7-weeks</v>
      </c>
      <c r="M209" t="str">
        <f t="shared" si="7"/>
        <v>At Risk</v>
      </c>
    </row>
    <row r="210" spans="1:13" x14ac:dyDescent="0.35">
      <c r="A210">
        <v>309</v>
      </c>
      <c r="B210" t="s">
        <v>11</v>
      </c>
      <c r="C210">
        <v>38</v>
      </c>
      <c r="D210" t="s">
        <v>24</v>
      </c>
      <c r="E210" t="s">
        <v>20</v>
      </c>
      <c r="F210" s="2">
        <v>460.9</v>
      </c>
      <c r="G210">
        <v>8</v>
      </c>
      <c r="H210">
        <v>3.2</v>
      </c>
      <c r="I210" t="b">
        <v>0</v>
      </c>
      <c r="J210" s="12">
        <v>25</v>
      </c>
      <c r="K210" t="s">
        <v>18</v>
      </c>
      <c r="L210" s="12" t="str">
        <f t="shared" si="6"/>
        <v>4-weeks</v>
      </c>
      <c r="M210" t="str">
        <f t="shared" si="7"/>
        <v>No Risk</v>
      </c>
    </row>
    <row r="211" spans="1:13" x14ac:dyDescent="0.35">
      <c r="A211">
        <v>310</v>
      </c>
      <c r="B211" t="s">
        <v>11</v>
      </c>
      <c r="C211">
        <v>32</v>
      </c>
      <c r="D211" t="s">
        <v>12</v>
      </c>
      <c r="E211" t="s">
        <v>13</v>
      </c>
      <c r="F211" s="2">
        <v>1170.3</v>
      </c>
      <c r="G211">
        <v>14</v>
      </c>
      <c r="H211">
        <v>4.5</v>
      </c>
      <c r="I211" t="b">
        <v>1</v>
      </c>
      <c r="J211" s="12">
        <v>21</v>
      </c>
      <c r="K211" t="s">
        <v>14</v>
      </c>
      <c r="L211" s="12" t="str">
        <f t="shared" si="6"/>
        <v>3-weeks</v>
      </c>
      <c r="M211" t="str">
        <f t="shared" si="7"/>
        <v>No Risk</v>
      </c>
    </row>
    <row r="212" spans="1:13" x14ac:dyDescent="0.35">
      <c r="A212">
        <v>311</v>
      </c>
      <c r="B212" t="s">
        <v>15</v>
      </c>
      <c r="C212">
        <v>34</v>
      </c>
      <c r="D212" t="s">
        <v>16</v>
      </c>
      <c r="E212" t="s">
        <v>17</v>
      </c>
      <c r="F212" s="2">
        <v>810.2</v>
      </c>
      <c r="G212">
        <v>11</v>
      </c>
      <c r="H212">
        <v>4</v>
      </c>
      <c r="I212" t="b">
        <v>0</v>
      </c>
      <c r="J212" s="12">
        <v>14</v>
      </c>
      <c r="K212" t="s">
        <v>18</v>
      </c>
      <c r="L212" s="12" t="str">
        <f t="shared" si="6"/>
        <v>2-weeks</v>
      </c>
      <c r="M212" t="str">
        <f t="shared" si="7"/>
        <v>No Risk</v>
      </c>
    </row>
    <row r="213" spans="1:13" x14ac:dyDescent="0.35">
      <c r="A213">
        <v>312</v>
      </c>
      <c r="B213" t="s">
        <v>11</v>
      </c>
      <c r="C213">
        <v>43</v>
      </c>
      <c r="D213" t="s">
        <v>19</v>
      </c>
      <c r="E213" t="s">
        <v>20</v>
      </c>
      <c r="F213" s="2">
        <v>515.75</v>
      </c>
      <c r="G213">
        <v>9</v>
      </c>
      <c r="H213">
        <v>3.3</v>
      </c>
      <c r="I213" t="b">
        <v>1</v>
      </c>
      <c r="J213" s="12">
        <v>38</v>
      </c>
      <c r="K213" t="s">
        <v>21</v>
      </c>
      <c r="L213" s="12" t="str">
        <f t="shared" si="6"/>
        <v>6-weeks</v>
      </c>
      <c r="M213" t="str">
        <f t="shared" si="7"/>
        <v>At Risk</v>
      </c>
    </row>
    <row r="214" spans="1:13" x14ac:dyDescent="0.35">
      <c r="A214">
        <v>313</v>
      </c>
      <c r="B214" t="s">
        <v>15</v>
      </c>
      <c r="C214">
        <v>30</v>
      </c>
      <c r="D214" t="s">
        <v>22</v>
      </c>
      <c r="E214" t="s">
        <v>13</v>
      </c>
      <c r="F214" s="2">
        <v>1450.5</v>
      </c>
      <c r="G214">
        <v>20</v>
      </c>
      <c r="H214">
        <v>4.8</v>
      </c>
      <c r="I214" t="b">
        <v>0</v>
      </c>
      <c r="J214" s="12">
        <v>12</v>
      </c>
      <c r="K214" t="s">
        <v>14</v>
      </c>
      <c r="L214" s="12" t="str">
        <f t="shared" si="6"/>
        <v>2-weeks</v>
      </c>
      <c r="M214" t="str">
        <f t="shared" si="7"/>
        <v>No Risk</v>
      </c>
    </row>
    <row r="215" spans="1:13" x14ac:dyDescent="0.35">
      <c r="A215">
        <v>314</v>
      </c>
      <c r="B215" t="s">
        <v>15</v>
      </c>
      <c r="C215">
        <v>27</v>
      </c>
      <c r="D215" t="s">
        <v>23</v>
      </c>
      <c r="E215" t="s">
        <v>17</v>
      </c>
      <c r="F215" s="2">
        <v>690.4</v>
      </c>
      <c r="G215">
        <v>13</v>
      </c>
      <c r="H215">
        <v>4.0999999999999996</v>
      </c>
      <c r="I215" t="b">
        <v>1</v>
      </c>
      <c r="J215" s="12">
        <v>52</v>
      </c>
      <c r="K215" t="s">
        <v>21</v>
      </c>
      <c r="L215" s="12" t="str">
        <f t="shared" si="6"/>
        <v>8-weeks</v>
      </c>
      <c r="M215" t="str">
        <f t="shared" si="7"/>
        <v>At Risk</v>
      </c>
    </row>
    <row r="216" spans="1:13" x14ac:dyDescent="0.35">
      <c r="A216">
        <v>315</v>
      </c>
      <c r="B216" t="s">
        <v>11</v>
      </c>
      <c r="C216">
        <v>37</v>
      </c>
      <c r="D216" t="s">
        <v>24</v>
      </c>
      <c r="E216" t="s">
        <v>20</v>
      </c>
      <c r="F216" s="2">
        <v>420.8</v>
      </c>
      <c r="G216">
        <v>7</v>
      </c>
      <c r="H216">
        <v>3.4</v>
      </c>
      <c r="I216" t="b">
        <v>0</v>
      </c>
      <c r="J216" s="12">
        <v>24</v>
      </c>
      <c r="K216" t="s">
        <v>18</v>
      </c>
      <c r="L216" s="12" t="str">
        <f t="shared" si="6"/>
        <v>4-weeks</v>
      </c>
      <c r="M216" t="str">
        <f t="shared" si="7"/>
        <v>No Risk</v>
      </c>
    </row>
    <row r="217" spans="1:13" x14ac:dyDescent="0.35">
      <c r="A217">
        <v>316</v>
      </c>
      <c r="B217" t="s">
        <v>11</v>
      </c>
      <c r="C217">
        <v>31</v>
      </c>
      <c r="D217" t="s">
        <v>12</v>
      </c>
      <c r="E217" t="s">
        <v>13</v>
      </c>
      <c r="F217" s="2">
        <v>1130.5999999999999</v>
      </c>
      <c r="G217">
        <v>15</v>
      </c>
      <c r="H217">
        <v>4.5</v>
      </c>
      <c r="I217" t="b">
        <v>1</v>
      </c>
      <c r="J217" s="12">
        <v>26</v>
      </c>
      <c r="K217" t="s">
        <v>14</v>
      </c>
      <c r="L217" s="12" t="str">
        <f t="shared" si="6"/>
        <v>4-weeks</v>
      </c>
      <c r="M217" t="str">
        <f t="shared" si="7"/>
        <v>No Risk</v>
      </c>
    </row>
    <row r="218" spans="1:13" x14ac:dyDescent="0.35">
      <c r="A218">
        <v>317</v>
      </c>
      <c r="B218" t="s">
        <v>15</v>
      </c>
      <c r="C218">
        <v>35</v>
      </c>
      <c r="D218" t="s">
        <v>16</v>
      </c>
      <c r="E218" t="s">
        <v>17</v>
      </c>
      <c r="F218" s="2">
        <v>820.9</v>
      </c>
      <c r="G218">
        <v>12</v>
      </c>
      <c r="H218">
        <v>4.3</v>
      </c>
      <c r="I218" t="b">
        <v>0</v>
      </c>
      <c r="J218" s="12">
        <v>13</v>
      </c>
      <c r="K218" t="s">
        <v>18</v>
      </c>
      <c r="L218" s="12" t="str">
        <f t="shared" si="6"/>
        <v>2-weeks</v>
      </c>
      <c r="M218" t="str">
        <f t="shared" si="7"/>
        <v>No Risk</v>
      </c>
    </row>
    <row r="219" spans="1:13" x14ac:dyDescent="0.35">
      <c r="A219">
        <v>318</v>
      </c>
      <c r="B219" t="s">
        <v>11</v>
      </c>
      <c r="C219">
        <v>41</v>
      </c>
      <c r="D219" t="s">
        <v>19</v>
      </c>
      <c r="E219" t="s">
        <v>20</v>
      </c>
      <c r="F219" s="2">
        <v>480.25</v>
      </c>
      <c r="G219">
        <v>9</v>
      </c>
      <c r="H219">
        <v>3.6</v>
      </c>
      <c r="I219" t="b">
        <v>1</v>
      </c>
      <c r="J219" s="12">
        <v>39</v>
      </c>
      <c r="K219" t="s">
        <v>21</v>
      </c>
      <c r="L219" s="12" t="str">
        <f t="shared" si="6"/>
        <v>6-weeks</v>
      </c>
      <c r="M219" t="str">
        <f t="shared" si="7"/>
        <v>At Risk</v>
      </c>
    </row>
    <row r="220" spans="1:13" x14ac:dyDescent="0.35">
      <c r="A220">
        <v>319</v>
      </c>
      <c r="B220" t="s">
        <v>15</v>
      </c>
      <c r="C220">
        <v>28</v>
      </c>
      <c r="D220" t="s">
        <v>22</v>
      </c>
      <c r="E220" t="s">
        <v>13</v>
      </c>
      <c r="F220" s="2">
        <v>1490.1</v>
      </c>
      <c r="G220">
        <v>21</v>
      </c>
      <c r="H220">
        <v>4.9000000000000004</v>
      </c>
      <c r="I220" t="b">
        <v>0</v>
      </c>
      <c r="J220" s="12">
        <v>9</v>
      </c>
      <c r="K220" t="s">
        <v>14</v>
      </c>
      <c r="L220" s="12" t="str">
        <f t="shared" si="6"/>
        <v>2-weeks</v>
      </c>
      <c r="M220" t="str">
        <f t="shared" si="7"/>
        <v>No Risk</v>
      </c>
    </row>
    <row r="221" spans="1:13" x14ac:dyDescent="0.35">
      <c r="A221">
        <v>320</v>
      </c>
      <c r="B221" t="s">
        <v>15</v>
      </c>
      <c r="C221">
        <v>32</v>
      </c>
      <c r="D221" t="s">
        <v>23</v>
      </c>
      <c r="E221" t="s">
        <v>17</v>
      </c>
      <c r="F221" s="2">
        <v>680.3</v>
      </c>
      <c r="G221">
        <v>10</v>
      </c>
      <c r="H221">
        <v>3.8</v>
      </c>
      <c r="I221" t="b">
        <v>1</v>
      </c>
      <c r="J221" s="12">
        <v>32</v>
      </c>
      <c r="K221" t="s">
        <v>21</v>
      </c>
      <c r="L221" s="12" t="str">
        <f t="shared" si="6"/>
        <v>5-weeks</v>
      </c>
      <c r="M221" t="str">
        <f t="shared" si="7"/>
        <v>At Risk</v>
      </c>
    </row>
    <row r="222" spans="1:13" x14ac:dyDescent="0.35">
      <c r="A222">
        <v>321</v>
      </c>
      <c r="B222" t="s">
        <v>11</v>
      </c>
      <c r="C222">
        <v>36</v>
      </c>
      <c r="D222" t="s">
        <v>24</v>
      </c>
      <c r="E222" t="s">
        <v>20</v>
      </c>
      <c r="F222" s="2">
        <v>470.5</v>
      </c>
      <c r="G222">
        <v>8</v>
      </c>
      <c r="H222">
        <v>3</v>
      </c>
      <c r="I222" t="b">
        <v>0</v>
      </c>
      <c r="J222" s="12">
        <v>18</v>
      </c>
      <c r="K222" t="s">
        <v>18</v>
      </c>
      <c r="L222" s="12" t="str">
        <f t="shared" si="6"/>
        <v>3-weeks</v>
      </c>
      <c r="M222" t="str">
        <f t="shared" si="7"/>
        <v>No Risk</v>
      </c>
    </row>
    <row r="223" spans="1:13" x14ac:dyDescent="0.35">
      <c r="A223">
        <v>322</v>
      </c>
      <c r="B223" t="s">
        <v>11</v>
      </c>
      <c r="C223">
        <v>30</v>
      </c>
      <c r="D223" t="s">
        <v>12</v>
      </c>
      <c r="E223" t="s">
        <v>13</v>
      </c>
      <c r="F223" s="2">
        <v>1180.8</v>
      </c>
      <c r="G223">
        <v>16</v>
      </c>
      <c r="H223">
        <v>4.7</v>
      </c>
      <c r="I223" t="b">
        <v>1</v>
      </c>
      <c r="J223" s="12">
        <v>19</v>
      </c>
      <c r="K223" t="s">
        <v>14</v>
      </c>
      <c r="L223" s="12" t="str">
        <f t="shared" si="6"/>
        <v>3-weeks</v>
      </c>
      <c r="M223" t="str">
        <f t="shared" si="7"/>
        <v>No Risk</v>
      </c>
    </row>
    <row r="224" spans="1:13" x14ac:dyDescent="0.35">
      <c r="A224">
        <v>323</v>
      </c>
      <c r="B224" t="s">
        <v>15</v>
      </c>
      <c r="C224">
        <v>34</v>
      </c>
      <c r="D224" t="s">
        <v>16</v>
      </c>
      <c r="E224" t="s">
        <v>17</v>
      </c>
      <c r="F224" s="2">
        <v>790.2</v>
      </c>
      <c r="G224">
        <v>11</v>
      </c>
      <c r="H224">
        <v>4</v>
      </c>
      <c r="I224" t="b">
        <v>0</v>
      </c>
      <c r="J224" s="12">
        <v>15</v>
      </c>
      <c r="K224" t="s">
        <v>18</v>
      </c>
      <c r="L224" s="12" t="str">
        <f t="shared" si="6"/>
        <v>3-weeks</v>
      </c>
      <c r="M224" t="str">
        <f t="shared" si="7"/>
        <v>No Risk</v>
      </c>
    </row>
    <row r="225" spans="1:13" x14ac:dyDescent="0.35">
      <c r="A225">
        <v>324</v>
      </c>
      <c r="B225" t="s">
        <v>11</v>
      </c>
      <c r="C225">
        <v>43</v>
      </c>
      <c r="D225" t="s">
        <v>19</v>
      </c>
      <c r="E225" t="s">
        <v>20</v>
      </c>
      <c r="F225" s="2">
        <v>505.75</v>
      </c>
      <c r="G225">
        <v>10</v>
      </c>
      <c r="H225">
        <v>3.3</v>
      </c>
      <c r="I225" t="b">
        <v>1</v>
      </c>
      <c r="J225" s="12">
        <v>39</v>
      </c>
      <c r="K225" t="s">
        <v>21</v>
      </c>
      <c r="L225" s="12" t="str">
        <f t="shared" si="6"/>
        <v>6-weeks</v>
      </c>
      <c r="M225" t="str">
        <f t="shared" si="7"/>
        <v>At Risk</v>
      </c>
    </row>
    <row r="226" spans="1:13" x14ac:dyDescent="0.35">
      <c r="A226">
        <v>325</v>
      </c>
      <c r="B226" t="s">
        <v>15</v>
      </c>
      <c r="C226">
        <v>30</v>
      </c>
      <c r="D226" t="s">
        <v>22</v>
      </c>
      <c r="E226" t="s">
        <v>13</v>
      </c>
      <c r="F226" s="2">
        <v>1470.5</v>
      </c>
      <c r="G226">
        <v>20</v>
      </c>
      <c r="H226">
        <v>4.8</v>
      </c>
      <c r="I226" t="b">
        <v>0</v>
      </c>
      <c r="J226" s="12">
        <v>13</v>
      </c>
      <c r="K226" t="s">
        <v>14</v>
      </c>
      <c r="L226" s="12" t="str">
        <f t="shared" si="6"/>
        <v>2-weeks</v>
      </c>
      <c r="M226" t="str">
        <f t="shared" si="7"/>
        <v>No Risk</v>
      </c>
    </row>
    <row r="227" spans="1:13" x14ac:dyDescent="0.35">
      <c r="A227">
        <v>326</v>
      </c>
      <c r="B227" t="s">
        <v>15</v>
      </c>
      <c r="C227">
        <v>27</v>
      </c>
      <c r="D227" t="s">
        <v>23</v>
      </c>
      <c r="E227" t="s">
        <v>17</v>
      </c>
      <c r="F227" s="2">
        <v>710.4</v>
      </c>
      <c r="G227">
        <v>13</v>
      </c>
      <c r="H227">
        <v>4.0999999999999996</v>
      </c>
      <c r="I227" t="b">
        <v>1</v>
      </c>
      <c r="J227" s="12">
        <v>54</v>
      </c>
      <c r="K227" t="s">
        <v>21</v>
      </c>
      <c r="L227" s="12" t="str">
        <f t="shared" si="6"/>
        <v>8-weeks</v>
      </c>
      <c r="M227" t="str">
        <f t="shared" si="7"/>
        <v>At Risk</v>
      </c>
    </row>
    <row r="228" spans="1:13" x14ac:dyDescent="0.35">
      <c r="A228">
        <v>327</v>
      </c>
      <c r="B228" t="s">
        <v>11</v>
      </c>
      <c r="C228">
        <v>37</v>
      </c>
      <c r="D228" t="s">
        <v>24</v>
      </c>
      <c r="E228" t="s">
        <v>20</v>
      </c>
      <c r="F228" s="2">
        <v>430.8</v>
      </c>
      <c r="G228">
        <v>7</v>
      </c>
      <c r="H228">
        <v>3.4</v>
      </c>
      <c r="I228" t="b">
        <v>0</v>
      </c>
      <c r="J228" s="12">
        <v>23</v>
      </c>
      <c r="K228" t="s">
        <v>18</v>
      </c>
      <c r="L228" s="12" t="str">
        <f t="shared" si="6"/>
        <v>4-weeks</v>
      </c>
      <c r="M228" t="str">
        <f t="shared" si="7"/>
        <v>No Risk</v>
      </c>
    </row>
    <row r="229" spans="1:13" x14ac:dyDescent="0.35">
      <c r="A229">
        <v>328</v>
      </c>
      <c r="B229" t="s">
        <v>11</v>
      </c>
      <c r="C229">
        <v>31</v>
      </c>
      <c r="D229" t="s">
        <v>12</v>
      </c>
      <c r="E229" t="s">
        <v>13</v>
      </c>
      <c r="F229" s="2">
        <v>1140.5999999999999</v>
      </c>
      <c r="G229">
        <v>15</v>
      </c>
      <c r="H229">
        <v>4.5</v>
      </c>
      <c r="I229" t="b">
        <v>1</v>
      </c>
      <c r="J229" s="12">
        <v>27</v>
      </c>
      <c r="K229" t="s">
        <v>14</v>
      </c>
      <c r="L229" s="12" t="str">
        <f t="shared" si="6"/>
        <v>4-weeks</v>
      </c>
      <c r="M229" t="str">
        <f t="shared" si="7"/>
        <v>No Risk</v>
      </c>
    </row>
    <row r="230" spans="1:13" x14ac:dyDescent="0.35">
      <c r="A230">
        <v>329</v>
      </c>
      <c r="B230" t="s">
        <v>15</v>
      </c>
      <c r="C230">
        <v>35</v>
      </c>
      <c r="D230" t="s">
        <v>16</v>
      </c>
      <c r="E230" t="s">
        <v>17</v>
      </c>
      <c r="F230" s="2">
        <v>820.9</v>
      </c>
      <c r="G230">
        <v>12</v>
      </c>
      <c r="H230">
        <v>4.3</v>
      </c>
      <c r="I230" t="b">
        <v>0</v>
      </c>
      <c r="J230" s="12">
        <v>13</v>
      </c>
      <c r="K230" t="s">
        <v>18</v>
      </c>
      <c r="L230" s="12" t="str">
        <f t="shared" si="6"/>
        <v>2-weeks</v>
      </c>
      <c r="M230" t="str">
        <f t="shared" si="7"/>
        <v>No Risk</v>
      </c>
    </row>
    <row r="231" spans="1:13" x14ac:dyDescent="0.35">
      <c r="A231">
        <v>330</v>
      </c>
      <c r="B231" t="s">
        <v>11</v>
      </c>
      <c r="C231">
        <v>41</v>
      </c>
      <c r="D231" t="s">
        <v>19</v>
      </c>
      <c r="E231" t="s">
        <v>20</v>
      </c>
      <c r="F231" s="2">
        <v>485.25</v>
      </c>
      <c r="G231">
        <v>9</v>
      </c>
      <c r="H231">
        <v>3.6</v>
      </c>
      <c r="I231" t="b">
        <v>1</v>
      </c>
      <c r="J231" s="12">
        <v>39</v>
      </c>
      <c r="K231" t="s">
        <v>21</v>
      </c>
      <c r="L231" s="12" t="str">
        <f t="shared" si="6"/>
        <v>6-weeks</v>
      </c>
      <c r="M231" t="str">
        <f t="shared" si="7"/>
        <v>At Risk</v>
      </c>
    </row>
    <row r="232" spans="1:13" x14ac:dyDescent="0.35">
      <c r="A232">
        <v>331</v>
      </c>
      <c r="B232" t="s">
        <v>15</v>
      </c>
      <c r="C232">
        <v>28</v>
      </c>
      <c r="D232" t="s">
        <v>22</v>
      </c>
      <c r="E232" t="s">
        <v>13</v>
      </c>
      <c r="F232" s="2">
        <v>1500.1</v>
      </c>
      <c r="G232">
        <v>21</v>
      </c>
      <c r="H232">
        <v>4.9000000000000004</v>
      </c>
      <c r="I232" t="b">
        <v>0</v>
      </c>
      <c r="J232" s="12">
        <v>10</v>
      </c>
      <c r="K232" t="s">
        <v>14</v>
      </c>
      <c r="L232" s="12" t="str">
        <f t="shared" si="6"/>
        <v>2-weeks</v>
      </c>
      <c r="M232" t="str">
        <f t="shared" si="7"/>
        <v>No Risk</v>
      </c>
    </row>
    <row r="233" spans="1:13" x14ac:dyDescent="0.35">
      <c r="A233">
        <v>332</v>
      </c>
      <c r="B233" t="s">
        <v>15</v>
      </c>
      <c r="C233">
        <v>32</v>
      </c>
      <c r="D233" t="s">
        <v>23</v>
      </c>
      <c r="E233" t="s">
        <v>17</v>
      </c>
      <c r="F233" s="2">
        <v>670.3</v>
      </c>
      <c r="G233">
        <v>10</v>
      </c>
      <c r="H233">
        <v>3.8</v>
      </c>
      <c r="I233" t="b">
        <v>1</v>
      </c>
      <c r="J233" s="12">
        <v>33</v>
      </c>
      <c r="K233" t="s">
        <v>21</v>
      </c>
      <c r="L233" s="12" t="str">
        <f t="shared" si="6"/>
        <v>5-weeks</v>
      </c>
      <c r="M233" t="str">
        <f t="shared" si="7"/>
        <v>At Risk</v>
      </c>
    </row>
    <row r="234" spans="1:13" x14ac:dyDescent="0.35">
      <c r="A234">
        <v>333</v>
      </c>
      <c r="B234" t="s">
        <v>11</v>
      </c>
      <c r="C234">
        <v>36</v>
      </c>
      <c r="D234" t="s">
        <v>24</v>
      </c>
      <c r="E234" t="s">
        <v>20</v>
      </c>
      <c r="F234" s="2">
        <v>460.5</v>
      </c>
      <c r="G234">
        <v>8</v>
      </c>
      <c r="H234">
        <v>3.1</v>
      </c>
      <c r="I234" t="b">
        <v>0</v>
      </c>
      <c r="J234" s="12">
        <v>19</v>
      </c>
      <c r="K234" t="s">
        <v>18</v>
      </c>
      <c r="L234" s="12" t="str">
        <f t="shared" si="6"/>
        <v>3-weeks</v>
      </c>
      <c r="M234" t="str">
        <f t="shared" si="7"/>
        <v>No Risk</v>
      </c>
    </row>
    <row r="235" spans="1:13" x14ac:dyDescent="0.35">
      <c r="A235">
        <v>334</v>
      </c>
      <c r="B235" t="s">
        <v>11</v>
      </c>
      <c r="C235">
        <v>30</v>
      </c>
      <c r="D235" t="s">
        <v>12</v>
      </c>
      <c r="E235" t="s">
        <v>13</v>
      </c>
      <c r="F235" s="2">
        <v>1190.8</v>
      </c>
      <c r="G235">
        <v>16</v>
      </c>
      <c r="H235">
        <v>4.5</v>
      </c>
      <c r="I235" t="b">
        <v>1</v>
      </c>
      <c r="J235" s="12">
        <v>20</v>
      </c>
      <c r="K235" t="s">
        <v>14</v>
      </c>
      <c r="L235" s="12" t="str">
        <f t="shared" si="6"/>
        <v>3-weeks</v>
      </c>
      <c r="M235" t="str">
        <f t="shared" si="7"/>
        <v>No Risk</v>
      </c>
    </row>
    <row r="236" spans="1:13" x14ac:dyDescent="0.35">
      <c r="A236">
        <v>335</v>
      </c>
      <c r="B236" t="s">
        <v>15</v>
      </c>
      <c r="C236">
        <v>33</v>
      </c>
      <c r="D236" t="s">
        <v>16</v>
      </c>
      <c r="E236" t="s">
        <v>17</v>
      </c>
      <c r="F236" s="2">
        <v>830.75</v>
      </c>
      <c r="G236">
        <v>13</v>
      </c>
      <c r="H236">
        <v>4.2</v>
      </c>
      <c r="I236" t="b">
        <v>0</v>
      </c>
      <c r="J236" s="12">
        <v>14</v>
      </c>
      <c r="K236" t="s">
        <v>14</v>
      </c>
      <c r="L236" s="12" t="str">
        <f t="shared" si="6"/>
        <v>2-weeks</v>
      </c>
      <c r="M236" t="str">
        <f t="shared" si="7"/>
        <v>No Risk</v>
      </c>
    </row>
    <row r="237" spans="1:13" x14ac:dyDescent="0.35">
      <c r="A237">
        <v>336</v>
      </c>
      <c r="B237" t="s">
        <v>11</v>
      </c>
      <c r="C237">
        <v>42</v>
      </c>
      <c r="D237" t="s">
        <v>19</v>
      </c>
      <c r="E237" t="s">
        <v>20</v>
      </c>
      <c r="F237" s="2">
        <v>520.4</v>
      </c>
      <c r="G237">
        <v>9</v>
      </c>
      <c r="H237">
        <v>3.5</v>
      </c>
      <c r="I237" t="b">
        <v>1</v>
      </c>
      <c r="J237" s="12">
        <v>37</v>
      </c>
      <c r="K237" t="s">
        <v>21</v>
      </c>
      <c r="L237" s="12" t="str">
        <f t="shared" si="6"/>
        <v>6-weeks</v>
      </c>
      <c r="M237" t="str">
        <f t="shared" si="7"/>
        <v>At Risk</v>
      </c>
    </row>
    <row r="238" spans="1:13" x14ac:dyDescent="0.35">
      <c r="A238">
        <v>337</v>
      </c>
      <c r="B238" t="s">
        <v>15</v>
      </c>
      <c r="C238">
        <v>29</v>
      </c>
      <c r="D238" t="s">
        <v>22</v>
      </c>
      <c r="E238" t="s">
        <v>13</v>
      </c>
      <c r="F238" s="2">
        <v>1370.2</v>
      </c>
      <c r="G238">
        <v>18</v>
      </c>
      <c r="H238">
        <v>4.7</v>
      </c>
      <c r="I238" t="b">
        <v>0</v>
      </c>
      <c r="J238" s="12">
        <v>10</v>
      </c>
      <c r="K238" t="s">
        <v>14</v>
      </c>
      <c r="L238" s="12" t="str">
        <f t="shared" si="6"/>
        <v>2-weeks</v>
      </c>
      <c r="M238" t="str">
        <f t="shared" si="7"/>
        <v>No Risk</v>
      </c>
    </row>
    <row r="239" spans="1:13" x14ac:dyDescent="0.35">
      <c r="A239">
        <v>338</v>
      </c>
      <c r="B239" t="s">
        <v>15</v>
      </c>
      <c r="C239">
        <v>26</v>
      </c>
      <c r="D239" t="s">
        <v>23</v>
      </c>
      <c r="E239" t="s">
        <v>17</v>
      </c>
      <c r="F239" s="2">
        <v>690.6</v>
      </c>
      <c r="G239">
        <v>12</v>
      </c>
      <c r="H239">
        <v>3.9</v>
      </c>
      <c r="I239" t="b">
        <v>1</v>
      </c>
      <c r="J239" s="12">
        <v>47</v>
      </c>
      <c r="K239" t="s">
        <v>21</v>
      </c>
      <c r="L239" s="12" t="str">
        <f t="shared" si="6"/>
        <v>7-weeks</v>
      </c>
      <c r="M239" t="str">
        <f t="shared" si="7"/>
        <v>At Risk</v>
      </c>
    </row>
    <row r="240" spans="1:13" x14ac:dyDescent="0.35">
      <c r="A240">
        <v>339</v>
      </c>
      <c r="B240" t="s">
        <v>11</v>
      </c>
      <c r="C240">
        <v>38</v>
      </c>
      <c r="D240" t="s">
        <v>24</v>
      </c>
      <c r="E240" t="s">
        <v>20</v>
      </c>
      <c r="F240" s="2">
        <v>440.9</v>
      </c>
      <c r="G240">
        <v>8</v>
      </c>
      <c r="H240">
        <v>3.2</v>
      </c>
      <c r="I240" t="b">
        <v>0</v>
      </c>
      <c r="J240" s="12">
        <v>24</v>
      </c>
      <c r="K240" t="s">
        <v>18</v>
      </c>
      <c r="L240" s="12" t="str">
        <f t="shared" si="6"/>
        <v>4-weeks</v>
      </c>
      <c r="M240" t="str">
        <f t="shared" si="7"/>
        <v>No Risk</v>
      </c>
    </row>
    <row r="241" spans="1:13" x14ac:dyDescent="0.35">
      <c r="A241">
        <v>340</v>
      </c>
      <c r="B241" t="s">
        <v>11</v>
      </c>
      <c r="C241">
        <v>32</v>
      </c>
      <c r="D241" t="s">
        <v>12</v>
      </c>
      <c r="E241" t="s">
        <v>13</v>
      </c>
      <c r="F241" s="2">
        <v>1160.3</v>
      </c>
      <c r="G241">
        <v>14</v>
      </c>
      <c r="H241">
        <v>4.4000000000000004</v>
      </c>
      <c r="I241" t="b">
        <v>1</v>
      </c>
      <c r="J241" s="12">
        <v>22</v>
      </c>
      <c r="K241" t="s">
        <v>14</v>
      </c>
      <c r="L241" s="12" t="str">
        <f t="shared" si="6"/>
        <v>4-weeks</v>
      </c>
      <c r="M241" t="str">
        <f t="shared" si="7"/>
        <v>No Risk</v>
      </c>
    </row>
    <row r="242" spans="1:13" x14ac:dyDescent="0.35">
      <c r="A242">
        <v>341</v>
      </c>
      <c r="B242" t="s">
        <v>15</v>
      </c>
      <c r="C242">
        <v>34</v>
      </c>
      <c r="D242" t="s">
        <v>16</v>
      </c>
      <c r="E242" t="s">
        <v>17</v>
      </c>
      <c r="F242" s="2">
        <v>800.2</v>
      </c>
      <c r="G242">
        <v>11</v>
      </c>
      <c r="H242">
        <v>4.0999999999999996</v>
      </c>
      <c r="I242" t="b">
        <v>0</v>
      </c>
      <c r="J242" s="12">
        <v>17</v>
      </c>
      <c r="K242" t="s">
        <v>18</v>
      </c>
      <c r="L242" s="12" t="str">
        <f t="shared" si="6"/>
        <v>3-weeks</v>
      </c>
      <c r="M242" t="str">
        <f t="shared" si="7"/>
        <v>No Risk</v>
      </c>
    </row>
    <row r="243" spans="1:13" x14ac:dyDescent="0.35">
      <c r="A243">
        <v>342</v>
      </c>
      <c r="B243" t="s">
        <v>11</v>
      </c>
      <c r="C243">
        <v>43</v>
      </c>
      <c r="D243" t="s">
        <v>19</v>
      </c>
      <c r="E243" t="s">
        <v>20</v>
      </c>
      <c r="F243" s="2">
        <v>525.75</v>
      </c>
      <c r="G243">
        <v>9</v>
      </c>
      <c r="H243">
        <v>3.3</v>
      </c>
      <c r="I243" t="b">
        <v>1</v>
      </c>
      <c r="J243" s="12">
        <v>40</v>
      </c>
      <c r="K243" t="s">
        <v>21</v>
      </c>
      <c r="L243" s="12" t="str">
        <f t="shared" si="6"/>
        <v>6-weeks</v>
      </c>
      <c r="M243" t="str">
        <f t="shared" si="7"/>
        <v>At Risk</v>
      </c>
    </row>
    <row r="244" spans="1:13" x14ac:dyDescent="0.35">
      <c r="A244">
        <v>343</v>
      </c>
      <c r="B244" t="s">
        <v>15</v>
      </c>
      <c r="C244">
        <v>30</v>
      </c>
      <c r="D244" t="s">
        <v>22</v>
      </c>
      <c r="E244" t="s">
        <v>13</v>
      </c>
      <c r="F244" s="2">
        <v>1460.5</v>
      </c>
      <c r="G244">
        <v>20</v>
      </c>
      <c r="H244">
        <v>4.8</v>
      </c>
      <c r="I244" t="b">
        <v>0</v>
      </c>
      <c r="J244" s="12">
        <v>11</v>
      </c>
      <c r="K244" t="s">
        <v>14</v>
      </c>
      <c r="L244" s="12" t="str">
        <f t="shared" si="6"/>
        <v>2-weeks</v>
      </c>
      <c r="M244" t="str">
        <f t="shared" si="7"/>
        <v>No Risk</v>
      </c>
    </row>
    <row r="245" spans="1:13" x14ac:dyDescent="0.35">
      <c r="A245">
        <v>344</v>
      </c>
      <c r="B245" t="s">
        <v>15</v>
      </c>
      <c r="C245">
        <v>27</v>
      </c>
      <c r="D245" t="s">
        <v>23</v>
      </c>
      <c r="E245" t="s">
        <v>17</v>
      </c>
      <c r="F245" s="2">
        <v>720.4</v>
      </c>
      <c r="G245">
        <v>13</v>
      </c>
      <c r="H245">
        <v>4</v>
      </c>
      <c r="I245" t="b">
        <v>1</v>
      </c>
      <c r="J245" s="12">
        <v>55</v>
      </c>
      <c r="K245" t="s">
        <v>21</v>
      </c>
      <c r="L245" s="12" t="str">
        <f t="shared" si="6"/>
        <v>8-weeks</v>
      </c>
      <c r="M245" t="str">
        <f t="shared" si="7"/>
        <v>At Risk</v>
      </c>
    </row>
    <row r="246" spans="1:13" x14ac:dyDescent="0.35">
      <c r="A246">
        <v>345</v>
      </c>
      <c r="B246" t="s">
        <v>11</v>
      </c>
      <c r="C246">
        <v>37</v>
      </c>
      <c r="D246" t="s">
        <v>24</v>
      </c>
      <c r="E246" t="s">
        <v>20</v>
      </c>
      <c r="F246" s="2">
        <v>440.8</v>
      </c>
      <c r="G246">
        <v>7</v>
      </c>
      <c r="H246">
        <v>3.2</v>
      </c>
      <c r="I246" t="b">
        <v>0</v>
      </c>
      <c r="J246" s="12">
        <v>25</v>
      </c>
      <c r="K246" t="s">
        <v>18</v>
      </c>
      <c r="L246" s="12" t="str">
        <f t="shared" si="6"/>
        <v>4-weeks</v>
      </c>
      <c r="M246" t="str">
        <f t="shared" si="7"/>
        <v>No Risk</v>
      </c>
    </row>
    <row r="247" spans="1:13" x14ac:dyDescent="0.35">
      <c r="A247">
        <v>346</v>
      </c>
      <c r="B247" t="s">
        <v>11</v>
      </c>
      <c r="C247">
        <v>31</v>
      </c>
      <c r="D247" t="s">
        <v>12</v>
      </c>
      <c r="E247" t="s">
        <v>13</v>
      </c>
      <c r="F247" s="2">
        <v>1150.5999999999999</v>
      </c>
      <c r="G247">
        <v>15</v>
      </c>
      <c r="H247">
        <v>4.5</v>
      </c>
      <c r="I247" t="b">
        <v>1</v>
      </c>
      <c r="J247" s="12">
        <v>28</v>
      </c>
      <c r="K247" t="s">
        <v>14</v>
      </c>
      <c r="L247" s="12" t="str">
        <f t="shared" si="6"/>
        <v>4-weeks</v>
      </c>
      <c r="M247" t="str">
        <f t="shared" si="7"/>
        <v>No Risk</v>
      </c>
    </row>
    <row r="248" spans="1:13" x14ac:dyDescent="0.35">
      <c r="A248">
        <v>347</v>
      </c>
      <c r="B248" t="s">
        <v>15</v>
      </c>
      <c r="C248">
        <v>35</v>
      </c>
      <c r="D248" t="s">
        <v>16</v>
      </c>
      <c r="E248" t="s">
        <v>17</v>
      </c>
      <c r="F248" s="2">
        <v>830.9</v>
      </c>
      <c r="G248">
        <v>12</v>
      </c>
      <c r="H248">
        <v>4.3</v>
      </c>
      <c r="I248" t="b">
        <v>0</v>
      </c>
      <c r="J248" s="12">
        <v>14</v>
      </c>
      <c r="K248" t="s">
        <v>18</v>
      </c>
      <c r="L248" s="12" t="str">
        <f t="shared" si="6"/>
        <v>2-weeks</v>
      </c>
      <c r="M248" t="str">
        <f t="shared" si="7"/>
        <v>No Risk</v>
      </c>
    </row>
    <row r="249" spans="1:13" x14ac:dyDescent="0.35">
      <c r="A249">
        <v>348</v>
      </c>
      <c r="B249" t="s">
        <v>11</v>
      </c>
      <c r="C249">
        <v>41</v>
      </c>
      <c r="D249" t="s">
        <v>19</v>
      </c>
      <c r="E249" t="s">
        <v>20</v>
      </c>
      <c r="F249" s="2">
        <v>490.25</v>
      </c>
      <c r="G249">
        <v>9</v>
      </c>
      <c r="H249">
        <v>3.6</v>
      </c>
      <c r="I249" t="b">
        <v>1</v>
      </c>
      <c r="J249" s="12">
        <v>40</v>
      </c>
      <c r="K249" t="s">
        <v>21</v>
      </c>
      <c r="L249" s="12" t="str">
        <f t="shared" si="6"/>
        <v>6-weeks</v>
      </c>
      <c r="M249" t="str">
        <f t="shared" si="7"/>
        <v>At Risk</v>
      </c>
    </row>
    <row r="250" spans="1:13" x14ac:dyDescent="0.35">
      <c r="A250">
        <v>349</v>
      </c>
      <c r="B250" t="s">
        <v>15</v>
      </c>
      <c r="C250">
        <v>28</v>
      </c>
      <c r="D250" t="s">
        <v>22</v>
      </c>
      <c r="E250" t="s">
        <v>13</v>
      </c>
      <c r="F250" s="2">
        <v>1480.1</v>
      </c>
      <c r="G250">
        <v>21</v>
      </c>
      <c r="H250">
        <v>4.9000000000000004</v>
      </c>
      <c r="I250" t="b">
        <v>0</v>
      </c>
      <c r="J250" s="12">
        <v>10</v>
      </c>
      <c r="K250" t="s">
        <v>14</v>
      </c>
      <c r="L250" s="12" t="str">
        <f t="shared" si="6"/>
        <v>2-weeks</v>
      </c>
      <c r="M250" t="str">
        <f t="shared" si="7"/>
        <v>No Risk</v>
      </c>
    </row>
    <row r="251" spans="1:13" x14ac:dyDescent="0.35">
      <c r="A251">
        <v>350</v>
      </c>
      <c r="B251" t="s">
        <v>15</v>
      </c>
      <c r="C251">
        <v>32</v>
      </c>
      <c r="D251" t="s">
        <v>23</v>
      </c>
      <c r="E251" t="s">
        <v>17</v>
      </c>
      <c r="F251" s="2">
        <v>690.3</v>
      </c>
      <c r="G251">
        <v>10</v>
      </c>
      <c r="H251">
        <v>3.8</v>
      </c>
      <c r="I251" t="b">
        <v>1</v>
      </c>
      <c r="J251" s="12">
        <v>34</v>
      </c>
      <c r="K251" t="s">
        <v>21</v>
      </c>
      <c r="L251" s="12" t="str">
        <f t="shared" si="6"/>
        <v>5-weeks</v>
      </c>
      <c r="M251" t="str">
        <f t="shared" si="7"/>
        <v>At Risk</v>
      </c>
    </row>
    <row r="252" spans="1:13" x14ac:dyDescent="0.35">
      <c r="A252">
        <v>351</v>
      </c>
      <c r="B252" t="s">
        <v>11</v>
      </c>
      <c r="C252">
        <v>36</v>
      </c>
      <c r="D252" t="s">
        <v>24</v>
      </c>
      <c r="E252" t="s">
        <v>20</v>
      </c>
      <c r="F252" s="2">
        <v>480.5</v>
      </c>
      <c r="G252">
        <v>8</v>
      </c>
      <c r="H252">
        <v>3.1</v>
      </c>
      <c r="I252" t="b">
        <v>0</v>
      </c>
      <c r="J252" s="12">
        <v>20</v>
      </c>
      <c r="K252" t="s">
        <v>18</v>
      </c>
      <c r="L252" s="12" t="str">
        <f t="shared" si="6"/>
        <v>3-weeks</v>
      </c>
      <c r="M252" t="str">
        <f t="shared" si="7"/>
        <v>No Risk</v>
      </c>
    </row>
    <row r="253" spans="1:13" x14ac:dyDescent="0.35">
      <c r="A253">
        <v>352</v>
      </c>
      <c r="B253" t="s">
        <v>11</v>
      </c>
      <c r="C253">
        <v>30</v>
      </c>
      <c r="D253" t="s">
        <v>12</v>
      </c>
      <c r="E253" t="s">
        <v>13</v>
      </c>
      <c r="F253" s="2">
        <v>1170.8</v>
      </c>
      <c r="G253">
        <v>16</v>
      </c>
      <c r="H253">
        <v>4.7</v>
      </c>
      <c r="I253" t="b">
        <v>1</v>
      </c>
      <c r="J253" s="12">
        <v>21</v>
      </c>
      <c r="K253" t="s">
        <v>14</v>
      </c>
      <c r="L253" s="12" t="str">
        <f t="shared" si="6"/>
        <v>3-weeks</v>
      </c>
      <c r="M253" t="str">
        <f t="shared" si="7"/>
        <v>No Risk</v>
      </c>
    </row>
    <row r="254" spans="1:13" x14ac:dyDescent="0.35">
      <c r="A254">
        <v>353</v>
      </c>
      <c r="B254" t="s">
        <v>15</v>
      </c>
      <c r="C254">
        <v>34</v>
      </c>
      <c r="D254" t="s">
        <v>16</v>
      </c>
      <c r="E254" t="s">
        <v>17</v>
      </c>
      <c r="F254" s="2">
        <v>790.2</v>
      </c>
      <c r="G254">
        <v>11</v>
      </c>
      <c r="H254">
        <v>4</v>
      </c>
      <c r="I254" t="b">
        <v>0</v>
      </c>
      <c r="J254" s="12">
        <v>15</v>
      </c>
      <c r="K254" t="s">
        <v>18</v>
      </c>
      <c r="L254" s="12" t="str">
        <f t="shared" si="6"/>
        <v>3-weeks</v>
      </c>
      <c r="M254" t="str">
        <f t="shared" si="7"/>
        <v>No Risk</v>
      </c>
    </row>
    <row r="255" spans="1:13" x14ac:dyDescent="0.35">
      <c r="A255">
        <v>354</v>
      </c>
      <c r="B255" t="s">
        <v>11</v>
      </c>
      <c r="C255">
        <v>43</v>
      </c>
      <c r="D255" t="s">
        <v>19</v>
      </c>
      <c r="E255" t="s">
        <v>20</v>
      </c>
      <c r="F255" s="2">
        <v>510.75</v>
      </c>
      <c r="G255">
        <v>10</v>
      </c>
      <c r="H255">
        <v>3.3</v>
      </c>
      <c r="I255" t="b">
        <v>1</v>
      </c>
      <c r="J255" s="12">
        <v>41</v>
      </c>
      <c r="K255" t="s">
        <v>21</v>
      </c>
      <c r="L255" s="12" t="str">
        <f t="shared" si="6"/>
        <v>6-weeks</v>
      </c>
      <c r="M255" t="str">
        <f t="shared" si="7"/>
        <v>At Risk</v>
      </c>
    </row>
    <row r="256" spans="1:13" x14ac:dyDescent="0.35">
      <c r="A256">
        <v>355</v>
      </c>
      <c r="B256" t="s">
        <v>15</v>
      </c>
      <c r="C256">
        <v>30</v>
      </c>
      <c r="D256" t="s">
        <v>22</v>
      </c>
      <c r="E256" t="s">
        <v>13</v>
      </c>
      <c r="F256" s="2">
        <v>1440.5</v>
      </c>
      <c r="G256">
        <v>19</v>
      </c>
      <c r="H256">
        <v>4.5999999999999996</v>
      </c>
      <c r="I256" t="b">
        <v>0</v>
      </c>
      <c r="J256" s="12">
        <v>12</v>
      </c>
      <c r="K256" t="s">
        <v>14</v>
      </c>
      <c r="L256" s="12" t="str">
        <f t="shared" si="6"/>
        <v>2-weeks</v>
      </c>
      <c r="M256" t="str">
        <f t="shared" si="7"/>
        <v>No Risk</v>
      </c>
    </row>
    <row r="257" spans="1:13" x14ac:dyDescent="0.35">
      <c r="A257">
        <v>356</v>
      </c>
      <c r="B257" t="s">
        <v>15</v>
      </c>
      <c r="C257">
        <v>27</v>
      </c>
      <c r="D257" t="s">
        <v>23</v>
      </c>
      <c r="E257" t="s">
        <v>17</v>
      </c>
      <c r="F257" s="2">
        <v>700.4</v>
      </c>
      <c r="G257">
        <v>13</v>
      </c>
      <c r="H257">
        <v>4.0999999999999996</v>
      </c>
      <c r="I257" t="b">
        <v>1</v>
      </c>
      <c r="J257" s="12">
        <v>56</v>
      </c>
      <c r="K257" t="s">
        <v>21</v>
      </c>
      <c r="L257" s="12" t="str">
        <f t="shared" si="6"/>
        <v>8-weeks</v>
      </c>
      <c r="M257" t="str">
        <f t="shared" si="7"/>
        <v>At Risk</v>
      </c>
    </row>
    <row r="258" spans="1:13" x14ac:dyDescent="0.35">
      <c r="A258">
        <v>357</v>
      </c>
      <c r="B258" t="s">
        <v>11</v>
      </c>
      <c r="C258">
        <v>37</v>
      </c>
      <c r="D258" t="s">
        <v>24</v>
      </c>
      <c r="E258" t="s">
        <v>20</v>
      </c>
      <c r="F258" s="2">
        <v>410.8</v>
      </c>
      <c r="G258">
        <v>7</v>
      </c>
      <c r="H258">
        <v>3.4</v>
      </c>
      <c r="I258" t="b">
        <v>0</v>
      </c>
      <c r="J258" s="12">
        <v>26</v>
      </c>
      <c r="K258" t="s">
        <v>18</v>
      </c>
      <c r="L258" s="12" t="str">
        <f t="shared" ref="L258:L321" si="8">_xlfn.IFS(J258&lt;=7,"1-week",J258&lt;=14,"2-weeks", J258&lt;=21,"3-weeks",J258&lt;=28,"4-weeks",J258&lt;=35,"5-weeks",J258&lt;=42,"6-weeks",J258&lt;=49,"7-weeks",J258&lt;=56,"8-weeks",J258&lt;=63,"9-weeks")</f>
        <v>4-weeks</v>
      </c>
      <c r="M258" t="str">
        <f t="shared" ref="M258:M321" si="9">IF(J258&gt;28, "At Risk", "No Risk")</f>
        <v>No Risk</v>
      </c>
    </row>
    <row r="259" spans="1:13" x14ac:dyDescent="0.35">
      <c r="A259">
        <v>358</v>
      </c>
      <c r="B259" t="s">
        <v>11</v>
      </c>
      <c r="C259">
        <v>31</v>
      </c>
      <c r="D259" t="s">
        <v>12</v>
      </c>
      <c r="E259" t="s">
        <v>13</v>
      </c>
      <c r="F259" s="2">
        <v>1160.5999999999999</v>
      </c>
      <c r="G259">
        <v>15</v>
      </c>
      <c r="H259">
        <v>4.5</v>
      </c>
      <c r="I259" t="b">
        <v>1</v>
      </c>
      <c r="J259" s="12">
        <v>29</v>
      </c>
      <c r="K259" t="s">
        <v>14</v>
      </c>
      <c r="L259" s="12" t="str">
        <f t="shared" si="8"/>
        <v>5-weeks</v>
      </c>
      <c r="M259" t="str">
        <f t="shared" si="9"/>
        <v>At Risk</v>
      </c>
    </row>
    <row r="260" spans="1:13" x14ac:dyDescent="0.35">
      <c r="A260">
        <v>359</v>
      </c>
      <c r="B260" t="s">
        <v>15</v>
      </c>
      <c r="C260">
        <v>35</v>
      </c>
      <c r="D260" t="s">
        <v>16</v>
      </c>
      <c r="E260" t="s">
        <v>17</v>
      </c>
      <c r="F260" s="2">
        <v>810.9</v>
      </c>
      <c r="G260">
        <v>12</v>
      </c>
      <c r="H260">
        <v>4.3</v>
      </c>
      <c r="I260" t="b">
        <v>0</v>
      </c>
      <c r="J260" s="12">
        <v>14</v>
      </c>
      <c r="K260" t="s">
        <v>18</v>
      </c>
      <c r="L260" s="12" t="str">
        <f t="shared" si="8"/>
        <v>2-weeks</v>
      </c>
      <c r="M260" t="str">
        <f t="shared" si="9"/>
        <v>No Risk</v>
      </c>
    </row>
    <row r="261" spans="1:13" x14ac:dyDescent="0.35">
      <c r="A261">
        <v>360</v>
      </c>
      <c r="B261" t="s">
        <v>11</v>
      </c>
      <c r="C261">
        <v>41</v>
      </c>
      <c r="D261" t="s">
        <v>19</v>
      </c>
      <c r="E261" t="s">
        <v>20</v>
      </c>
      <c r="F261" s="2">
        <v>495.25</v>
      </c>
      <c r="G261">
        <v>9</v>
      </c>
      <c r="H261">
        <v>3.6</v>
      </c>
      <c r="I261" t="b">
        <v>1</v>
      </c>
      <c r="J261" s="12">
        <v>41</v>
      </c>
      <c r="K261" t="s">
        <v>21</v>
      </c>
      <c r="L261" s="12" t="str">
        <f t="shared" si="8"/>
        <v>6-weeks</v>
      </c>
      <c r="M261" t="str">
        <f t="shared" si="9"/>
        <v>At Risk</v>
      </c>
    </row>
    <row r="262" spans="1:13" x14ac:dyDescent="0.35">
      <c r="A262">
        <v>361</v>
      </c>
      <c r="B262" t="s">
        <v>15</v>
      </c>
      <c r="C262">
        <v>28</v>
      </c>
      <c r="D262" t="s">
        <v>22</v>
      </c>
      <c r="E262" t="s">
        <v>13</v>
      </c>
      <c r="F262" s="2">
        <v>1490.1</v>
      </c>
      <c r="G262">
        <v>21</v>
      </c>
      <c r="H262">
        <v>4.9000000000000004</v>
      </c>
      <c r="I262" t="b">
        <v>0</v>
      </c>
      <c r="J262" s="12">
        <v>10</v>
      </c>
      <c r="K262" t="s">
        <v>14</v>
      </c>
      <c r="L262" s="12" t="str">
        <f t="shared" si="8"/>
        <v>2-weeks</v>
      </c>
      <c r="M262" t="str">
        <f t="shared" si="9"/>
        <v>No Risk</v>
      </c>
    </row>
    <row r="263" spans="1:13" x14ac:dyDescent="0.35">
      <c r="A263">
        <v>362</v>
      </c>
      <c r="B263" t="s">
        <v>15</v>
      </c>
      <c r="C263">
        <v>32</v>
      </c>
      <c r="D263" t="s">
        <v>23</v>
      </c>
      <c r="E263" t="s">
        <v>17</v>
      </c>
      <c r="F263" s="2">
        <v>660.3</v>
      </c>
      <c r="G263">
        <v>10</v>
      </c>
      <c r="H263">
        <v>3.8</v>
      </c>
      <c r="I263" t="b">
        <v>1</v>
      </c>
      <c r="J263" s="12">
        <v>35</v>
      </c>
      <c r="K263" t="s">
        <v>21</v>
      </c>
      <c r="L263" s="12" t="str">
        <f t="shared" si="8"/>
        <v>5-weeks</v>
      </c>
      <c r="M263" t="str">
        <f t="shared" si="9"/>
        <v>At Risk</v>
      </c>
    </row>
    <row r="264" spans="1:13" x14ac:dyDescent="0.35">
      <c r="A264">
        <v>363</v>
      </c>
      <c r="B264" t="s">
        <v>11</v>
      </c>
      <c r="C264">
        <v>36</v>
      </c>
      <c r="D264" t="s">
        <v>24</v>
      </c>
      <c r="E264" t="s">
        <v>20</v>
      </c>
      <c r="F264" s="2">
        <v>430.5</v>
      </c>
      <c r="G264">
        <v>8</v>
      </c>
      <c r="H264">
        <v>3.1</v>
      </c>
      <c r="I264" t="b">
        <v>0</v>
      </c>
      <c r="J264" s="12">
        <v>21</v>
      </c>
      <c r="K264" t="s">
        <v>18</v>
      </c>
      <c r="L264" s="12" t="str">
        <f t="shared" si="8"/>
        <v>3-weeks</v>
      </c>
      <c r="M264" t="str">
        <f t="shared" si="9"/>
        <v>No Risk</v>
      </c>
    </row>
    <row r="265" spans="1:13" x14ac:dyDescent="0.35">
      <c r="A265">
        <v>364</v>
      </c>
      <c r="B265" t="s">
        <v>11</v>
      </c>
      <c r="C265">
        <v>30</v>
      </c>
      <c r="D265" t="s">
        <v>12</v>
      </c>
      <c r="E265" t="s">
        <v>13</v>
      </c>
      <c r="F265" s="2">
        <v>1200.8</v>
      </c>
      <c r="G265">
        <v>16</v>
      </c>
      <c r="H265">
        <v>4.7</v>
      </c>
      <c r="I265" t="b">
        <v>1</v>
      </c>
      <c r="J265" s="12">
        <v>22</v>
      </c>
      <c r="K265" t="s">
        <v>14</v>
      </c>
      <c r="L265" s="12" t="str">
        <f t="shared" si="8"/>
        <v>4-weeks</v>
      </c>
      <c r="M265" t="str">
        <f t="shared" si="9"/>
        <v>No Risk</v>
      </c>
    </row>
    <row r="266" spans="1:13" x14ac:dyDescent="0.35">
      <c r="A266">
        <v>365</v>
      </c>
      <c r="B266" t="s">
        <v>15</v>
      </c>
      <c r="C266">
        <v>34</v>
      </c>
      <c r="D266" t="s">
        <v>16</v>
      </c>
      <c r="E266" t="s">
        <v>17</v>
      </c>
      <c r="F266" s="2">
        <v>780.2</v>
      </c>
      <c r="G266">
        <v>11</v>
      </c>
      <c r="H266">
        <v>4.0999999999999996</v>
      </c>
      <c r="I266" t="b">
        <v>0</v>
      </c>
      <c r="J266" s="12">
        <v>16</v>
      </c>
      <c r="K266" t="s">
        <v>18</v>
      </c>
      <c r="L266" s="12" t="str">
        <f t="shared" si="8"/>
        <v>3-weeks</v>
      </c>
      <c r="M266" t="str">
        <f t="shared" si="9"/>
        <v>No Risk</v>
      </c>
    </row>
    <row r="267" spans="1:13" x14ac:dyDescent="0.35">
      <c r="A267">
        <v>366</v>
      </c>
      <c r="B267" t="s">
        <v>11</v>
      </c>
      <c r="C267">
        <v>43</v>
      </c>
      <c r="D267" t="s">
        <v>19</v>
      </c>
      <c r="E267" t="s">
        <v>20</v>
      </c>
      <c r="F267" s="2">
        <v>505.75</v>
      </c>
      <c r="G267">
        <v>10</v>
      </c>
      <c r="H267">
        <v>3.3</v>
      </c>
      <c r="I267" t="b">
        <v>1</v>
      </c>
      <c r="J267" s="12">
        <v>42</v>
      </c>
      <c r="K267" t="s">
        <v>21</v>
      </c>
      <c r="L267" s="12" t="str">
        <f t="shared" si="8"/>
        <v>6-weeks</v>
      </c>
      <c r="M267" t="str">
        <f t="shared" si="9"/>
        <v>At Risk</v>
      </c>
    </row>
    <row r="268" spans="1:13" x14ac:dyDescent="0.35">
      <c r="A268">
        <v>367</v>
      </c>
      <c r="B268" t="s">
        <v>15</v>
      </c>
      <c r="C268">
        <v>30</v>
      </c>
      <c r="D268" t="s">
        <v>22</v>
      </c>
      <c r="E268" t="s">
        <v>13</v>
      </c>
      <c r="F268" s="2">
        <v>1460.5</v>
      </c>
      <c r="G268">
        <v>20</v>
      </c>
      <c r="H268">
        <v>4.8</v>
      </c>
      <c r="I268" t="b">
        <v>0</v>
      </c>
      <c r="J268" s="12">
        <v>13</v>
      </c>
      <c r="K268" t="s">
        <v>14</v>
      </c>
      <c r="L268" s="12" t="str">
        <f t="shared" si="8"/>
        <v>2-weeks</v>
      </c>
      <c r="M268" t="str">
        <f t="shared" si="9"/>
        <v>No Risk</v>
      </c>
    </row>
    <row r="269" spans="1:13" x14ac:dyDescent="0.35">
      <c r="A269">
        <v>368</v>
      </c>
      <c r="B269" t="s">
        <v>15</v>
      </c>
      <c r="C269">
        <v>27</v>
      </c>
      <c r="D269" t="s">
        <v>23</v>
      </c>
      <c r="E269" t="s">
        <v>17</v>
      </c>
      <c r="F269" s="2">
        <v>710.4</v>
      </c>
      <c r="G269">
        <v>13</v>
      </c>
      <c r="H269">
        <v>4.0999999999999996</v>
      </c>
      <c r="I269" t="b">
        <v>1</v>
      </c>
      <c r="J269" s="12">
        <v>57</v>
      </c>
      <c r="K269" t="s">
        <v>21</v>
      </c>
      <c r="L269" s="12" t="str">
        <f t="shared" si="8"/>
        <v>9-weeks</v>
      </c>
      <c r="M269" t="str">
        <f t="shared" si="9"/>
        <v>At Risk</v>
      </c>
    </row>
    <row r="270" spans="1:13" x14ac:dyDescent="0.35">
      <c r="A270">
        <v>369</v>
      </c>
      <c r="B270" t="s">
        <v>11</v>
      </c>
      <c r="C270">
        <v>37</v>
      </c>
      <c r="D270" t="s">
        <v>24</v>
      </c>
      <c r="E270" t="s">
        <v>20</v>
      </c>
      <c r="F270" s="2">
        <v>450.8</v>
      </c>
      <c r="G270">
        <v>7</v>
      </c>
      <c r="H270">
        <v>3.4</v>
      </c>
      <c r="I270" t="b">
        <v>0</v>
      </c>
      <c r="J270" s="12">
        <v>24</v>
      </c>
      <c r="K270" t="s">
        <v>18</v>
      </c>
      <c r="L270" s="12" t="str">
        <f t="shared" si="8"/>
        <v>4-weeks</v>
      </c>
      <c r="M270" t="str">
        <f t="shared" si="9"/>
        <v>No Risk</v>
      </c>
    </row>
    <row r="271" spans="1:13" x14ac:dyDescent="0.35">
      <c r="A271">
        <v>370</v>
      </c>
      <c r="B271" t="s">
        <v>11</v>
      </c>
      <c r="C271">
        <v>31</v>
      </c>
      <c r="D271" t="s">
        <v>12</v>
      </c>
      <c r="E271" t="s">
        <v>13</v>
      </c>
      <c r="F271" s="2">
        <v>1140.5999999999999</v>
      </c>
      <c r="G271">
        <v>15</v>
      </c>
      <c r="H271">
        <v>4.5</v>
      </c>
      <c r="I271" t="b">
        <v>1</v>
      </c>
      <c r="J271" s="12">
        <v>30</v>
      </c>
      <c r="K271" t="s">
        <v>14</v>
      </c>
      <c r="L271" s="12" t="str">
        <f t="shared" si="8"/>
        <v>5-weeks</v>
      </c>
      <c r="M271" t="str">
        <f t="shared" si="9"/>
        <v>At Risk</v>
      </c>
    </row>
    <row r="272" spans="1:13" x14ac:dyDescent="0.35">
      <c r="A272">
        <v>371</v>
      </c>
      <c r="B272" t="s">
        <v>15</v>
      </c>
      <c r="C272">
        <v>35</v>
      </c>
      <c r="D272" t="s">
        <v>16</v>
      </c>
      <c r="E272" t="s">
        <v>17</v>
      </c>
      <c r="F272" s="2">
        <v>800.9</v>
      </c>
      <c r="G272">
        <v>12</v>
      </c>
      <c r="H272">
        <v>4.0999999999999996</v>
      </c>
      <c r="I272" t="b">
        <v>0</v>
      </c>
      <c r="J272" s="12">
        <v>17</v>
      </c>
      <c r="K272" t="s">
        <v>18</v>
      </c>
      <c r="L272" s="12" t="str">
        <f t="shared" si="8"/>
        <v>3-weeks</v>
      </c>
      <c r="M272" t="str">
        <f t="shared" si="9"/>
        <v>No Risk</v>
      </c>
    </row>
    <row r="273" spans="1:13" x14ac:dyDescent="0.35">
      <c r="A273">
        <v>372</v>
      </c>
      <c r="B273" t="s">
        <v>11</v>
      </c>
      <c r="C273">
        <v>41</v>
      </c>
      <c r="D273" t="s">
        <v>19</v>
      </c>
      <c r="E273" t="s">
        <v>20</v>
      </c>
      <c r="F273" s="2">
        <v>475.25</v>
      </c>
      <c r="G273">
        <v>9</v>
      </c>
      <c r="H273">
        <v>3.6</v>
      </c>
      <c r="I273" t="b">
        <v>1</v>
      </c>
      <c r="J273" s="12">
        <v>42</v>
      </c>
      <c r="K273" t="s">
        <v>21</v>
      </c>
      <c r="L273" s="12" t="str">
        <f t="shared" si="8"/>
        <v>6-weeks</v>
      </c>
      <c r="M273" t="str">
        <f t="shared" si="9"/>
        <v>At Risk</v>
      </c>
    </row>
    <row r="274" spans="1:13" x14ac:dyDescent="0.35">
      <c r="A274">
        <v>373</v>
      </c>
      <c r="B274" t="s">
        <v>15</v>
      </c>
      <c r="C274">
        <v>28</v>
      </c>
      <c r="D274" t="s">
        <v>22</v>
      </c>
      <c r="E274" t="s">
        <v>13</v>
      </c>
      <c r="F274" s="2">
        <v>1480.1</v>
      </c>
      <c r="G274">
        <v>21</v>
      </c>
      <c r="H274">
        <v>4.9000000000000004</v>
      </c>
      <c r="I274" t="b">
        <v>0</v>
      </c>
      <c r="J274" s="12">
        <v>11</v>
      </c>
      <c r="K274" t="s">
        <v>14</v>
      </c>
      <c r="L274" s="12" t="str">
        <f t="shared" si="8"/>
        <v>2-weeks</v>
      </c>
      <c r="M274" t="str">
        <f t="shared" si="9"/>
        <v>No Risk</v>
      </c>
    </row>
    <row r="275" spans="1:13" x14ac:dyDescent="0.35">
      <c r="A275">
        <v>374</v>
      </c>
      <c r="B275" t="s">
        <v>15</v>
      </c>
      <c r="C275">
        <v>32</v>
      </c>
      <c r="D275" t="s">
        <v>23</v>
      </c>
      <c r="E275" t="s">
        <v>17</v>
      </c>
      <c r="F275" s="2">
        <v>660.3</v>
      </c>
      <c r="G275">
        <v>10</v>
      </c>
      <c r="H275">
        <v>3.8</v>
      </c>
      <c r="I275" t="b">
        <v>1</v>
      </c>
      <c r="J275" s="12">
        <v>36</v>
      </c>
      <c r="K275" t="s">
        <v>21</v>
      </c>
      <c r="L275" s="12" t="str">
        <f t="shared" si="8"/>
        <v>6-weeks</v>
      </c>
      <c r="M275" t="str">
        <f t="shared" si="9"/>
        <v>At Risk</v>
      </c>
    </row>
    <row r="276" spans="1:13" x14ac:dyDescent="0.35">
      <c r="A276">
        <v>375</v>
      </c>
      <c r="B276" t="s">
        <v>11</v>
      </c>
      <c r="C276">
        <v>36</v>
      </c>
      <c r="D276" t="s">
        <v>24</v>
      </c>
      <c r="E276" t="s">
        <v>20</v>
      </c>
      <c r="F276" s="2">
        <v>470.5</v>
      </c>
      <c r="G276">
        <v>8</v>
      </c>
      <c r="H276">
        <v>3</v>
      </c>
      <c r="I276" t="b">
        <v>0</v>
      </c>
      <c r="J276" s="12">
        <v>22</v>
      </c>
      <c r="K276" t="s">
        <v>18</v>
      </c>
      <c r="L276" s="12" t="str">
        <f t="shared" si="8"/>
        <v>4-weeks</v>
      </c>
      <c r="M276" t="str">
        <f t="shared" si="9"/>
        <v>No Risk</v>
      </c>
    </row>
    <row r="277" spans="1:13" x14ac:dyDescent="0.35">
      <c r="A277">
        <v>376</v>
      </c>
      <c r="B277" t="s">
        <v>11</v>
      </c>
      <c r="C277">
        <v>30</v>
      </c>
      <c r="D277" t="s">
        <v>12</v>
      </c>
      <c r="E277" t="s">
        <v>13</v>
      </c>
      <c r="F277" s="2">
        <v>1190.8</v>
      </c>
      <c r="G277">
        <v>16</v>
      </c>
      <c r="H277">
        <v>4.5</v>
      </c>
      <c r="I277" t="b">
        <v>1</v>
      </c>
      <c r="J277" s="12">
        <v>23</v>
      </c>
      <c r="K277" t="s">
        <v>14</v>
      </c>
      <c r="L277" s="12" t="str">
        <f t="shared" si="8"/>
        <v>4-weeks</v>
      </c>
      <c r="M277" t="str">
        <f t="shared" si="9"/>
        <v>No Risk</v>
      </c>
    </row>
    <row r="278" spans="1:13" x14ac:dyDescent="0.35">
      <c r="A278">
        <v>377</v>
      </c>
      <c r="B278" t="s">
        <v>15</v>
      </c>
      <c r="C278">
        <v>33</v>
      </c>
      <c r="D278" t="s">
        <v>16</v>
      </c>
      <c r="E278" t="s">
        <v>17</v>
      </c>
      <c r="F278" s="2">
        <v>770.2</v>
      </c>
      <c r="G278">
        <v>11</v>
      </c>
      <c r="H278">
        <v>4.2</v>
      </c>
      <c r="I278" t="b">
        <v>0</v>
      </c>
      <c r="J278" s="12">
        <v>18</v>
      </c>
      <c r="K278" t="s">
        <v>18</v>
      </c>
      <c r="L278" s="12" t="str">
        <f t="shared" si="8"/>
        <v>3-weeks</v>
      </c>
      <c r="M278" t="str">
        <f t="shared" si="9"/>
        <v>No Risk</v>
      </c>
    </row>
    <row r="279" spans="1:13" x14ac:dyDescent="0.35">
      <c r="A279">
        <v>378</v>
      </c>
      <c r="B279" t="s">
        <v>11</v>
      </c>
      <c r="C279">
        <v>43</v>
      </c>
      <c r="D279" t="s">
        <v>19</v>
      </c>
      <c r="E279" t="s">
        <v>20</v>
      </c>
      <c r="F279" s="2">
        <v>515.75</v>
      </c>
      <c r="G279">
        <v>10</v>
      </c>
      <c r="H279">
        <v>3.3</v>
      </c>
      <c r="I279" t="b">
        <v>1</v>
      </c>
      <c r="J279" s="12">
        <v>43</v>
      </c>
      <c r="K279" t="s">
        <v>21</v>
      </c>
      <c r="L279" s="12" t="str">
        <f t="shared" si="8"/>
        <v>7-weeks</v>
      </c>
      <c r="M279" t="str">
        <f t="shared" si="9"/>
        <v>At Risk</v>
      </c>
    </row>
    <row r="280" spans="1:13" x14ac:dyDescent="0.35">
      <c r="A280">
        <v>379</v>
      </c>
      <c r="B280" t="s">
        <v>15</v>
      </c>
      <c r="C280">
        <v>30</v>
      </c>
      <c r="D280" t="s">
        <v>22</v>
      </c>
      <c r="E280" t="s">
        <v>13</v>
      </c>
      <c r="F280" s="2">
        <v>1450.5</v>
      </c>
      <c r="G280">
        <v>19</v>
      </c>
      <c r="H280">
        <v>4.5999999999999996</v>
      </c>
      <c r="I280" t="b">
        <v>0</v>
      </c>
      <c r="J280" s="12">
        <v>12</v>
      </c>
      <c r="K280" t="s">
        <v>14</v>
      </c>
      <c r="L280" s="12" t="str">
        <f t="shared" si="8"/>
        <v>2-weeks</v>
      </c>
      <c r="M280" t="str">
        <f t="shared" si="9"/>
        <v>No Risk</v>
      </c>
    </row>
    <row r="281" spans="1:13" x14ac:dyDescent="0.35">
      <c r="A281">
        <v>380</v>
      </c>
      <c r="B281" t="s">
        <v>15</v>
      </c>
      <c r="C281">
        <v>27</v>
      </c>
      <c r="D281" t="s">
        <v>23</v>
      </c>
      <c r="E281" t="s">
        <v>17</v>
      </c>
      <c r="F281" s="2">
        <v>710.4</v>
      </c>
      <c r="G281">
        <v>13</v>
      </c>
      <c r="H281">
        <v>4.0999999999999996</v>
      </c>
      <c r="I281" t="b">
        <v>1</v>
      </c>
      <c r="J281" s="12">
        <v>58</v>
      </c>
      <c r="K281" t="s">
        <v>21</v>
      </c>
      <c r="L281" s="12" t="str">
        <f t="shared" si="8"/>
        <v>9-weeks</v>
      </c>
      <c r="M281" t="str">
        <f t="shared" si="9"/>
        <v>At Risk</v>
      </c>
    </row>
    <row r="282" spans="1:13" x14ac:dyDescent="0.35">
      <c r="A282">
        <v>381</v>
      </c>
      <c r="B282" t="s">
        <v>11</v>
      </c>
      <c r="C282">
        <v>37</v>
      </c>
      <c r="D282" t="s">
        <v>24</v>
      </c>
      <c r="E282" t="s">
        <v>20</v>
      </c>
      <c r="F282" s="2">
        <v>430.8</v>
      </c>
      <c r="G282">
        <v>7</v>
      </c>
      <c r="H282">
        <v>3.4</v>
      </c>
      <c r="I282" t="b">
        <v>0</v>
      </c>
      <c r="J282" s="12">
        <v>27</v>
      </c>
      <c r="K282" t="s">
        <v>18</v>
      </c>
      <c r="L282" s="12" t="str">
        <f t="shared" si="8"/>
        <v>4-weeks</v>
      </c>
      <c r="M282" t="str">
        <f t="shared" si="9"/>
        <v>No Risk</v>
      </c>
    </row>
    <row r="283" spans="1:13" x14ac:dyDescent="0.35">
      <c r="A283">
        <v>382</v>
      </c>
      <c r="B283" t="s">
        <v>11</v>
      </c>
      <c r="C283">
        <v>31</v>
      </c>
      <c r="D283" t="s">
        <v>12</v>
      </c>
      <c r="E283" t="s">
        <v>13</v>
      </c>
      <c r="F283" s="2">
        <v>1160.5999999999999</v>
      </c>
      <c r="G283">
        <v>15</v>
      </c>
      <c r="H283">
        <v>4.5</v>
      </c>
      <c r="I283" t="b">
        <v>1</v>
      </c>
      <c r="J283" s="12">
        <v>31</v>
      </c>
      <c r="K283" t="s">
        <v>14</v>
      </c>
      <c r="L283" s="12" t="str">
        <f t="shared" si="8"/>
        <v>5-weeks</v>
      </c>
      <c r="M283" t="str">
        <f t="shared" si="9"/>
        <v>At Risk</v>
      </c>
    </row>
    <row r="284" spans="1:13" x14ac:dyDescent="0.35">
      <c r="A284">
        <v>383</v>
      </c>
      <c r="B284" t="s">
        <v>15</v>
      </c>
      <c r="C284">
        <v>35</v>
      </c>
      <c r="D284" t="s">
        <v>16</v>
      </c>
      <c r="E284" t="s">
        <v>17</v>
      </c>
      <c r="F284" s="2">
        <v>820.9</v>
      </c>
      <c r="G284">
        <v>12</v>
      </c>
      <c r="H284">
        <v>4.3</v>
      </c>
      <c r="I284" t="b">
        <v>0</v>
      </c>
      <c r="J284" s="12">
        <v>15</v>
      </c>
      <c r="K284" t="s">
        <v>18</v>
      </c>
      <c r="L284" s="12" t="str">
        <f t="shared" si="8"/>
        <v>3-weeks</v>
      </c>
      <c r="M284" t="str">
        <f t="shared" si="9"/>
        <v>No Risk</v>
      </c>
    </row>
    <row r="285" spans="1:13" x14ac:dyDescent="0.35">
      <c r="A285">
        <v>384</v>
      </c>
      <c r="B285" t="s">
        <v>11</v>
      </c>
      <c r="C285">
        <v>41</v>
      </c>
      <c r="D285" t="s">
        <v>19</v>
      </c>
      <c r="E285" t="s">
        <v>20</v>
      </c>
      <c r="F285" s="2">
        <v>495.25</v>
      </c>
      <c r="G285">
        <v>9</v>
      </c>
      <c r="H285">
        <v>3.6</v>
      </c>
      <c r="I285" t="b">
        <v>1</v>
      </c>
      <c r="J285" s="12">
        <v>43</v>
      </c>
      <c r="K285" t="s">
        <v>21</v>
      </c>
      <c r="L285" s="12" t="str">
        <f t="shared" si="8"/>
        <v>7-weeks</v>
      </c>
      <c r="M285" t="str">
        <f t="shared" si="9"/>
        <v>At Risk</v>
      </c>
    </row>
    <row r="286" spans="1:13" x14ac:dyDescent="0.35">
      <c r="A286">
        <v>385</v>
      </c>
      <c r="B286" t="s">
        <v>15</v>
      </c>
      <c r="C286">
        <v>28</v>
      </c>
      <c r="D286" t="s">
        <v>22</v>
      </c>
      <c r="E286" t="s">
        <v>13</v>
      </c>
      <c r="F286" s="2">
        <v>1490.1</v>
      </c>
      <c r="G286">
        <v>21</v>
      </c>
      <c r="H286">
        <v>4.9000000000000004</v>
      </c>
      <c r="I286" t="b">
        <v>0</v>
      </c>
      <c r="J286" s="12">
        <v>10</v>
      </c>
      <c r="K286" t="s">
        <v>14</v>
      </c>
      <c r="L286" s="12" t="str">
        <f t="shared" si="8"/>
        <v>2-weeks</v>
      </c>
      <c r="M286" t="str">
        <f t="shared" si="9"/>
        <v>No Risk</v>
      </c>
    </row>
    <row r="287" spans="1:13" x14ac:dyDescent="0.35">
      <c r="A287">
        <v>386</v>
      </c>
      <c r="B287" t="s">
        <v>15</v>
      </c>
      <c r="C287">
        <v>32</v>
      </c>
      <c r="D287" t="s">
        <v>23</v>
      </c>
      <c r="E287" t="s">
        <v>17</v>
      </c>
      <c r="F287" s="2">
        <v>660.3</v>
      </c>
      <c r="G287">
        <v>10</v>
      </c>
      <c r="H287">
        <v>3.8</v>
      </c>
      <c r="I287" t="b">
        <v>1</v>
      </c>
      <c r="J287" s="12">
        <v>37</v>
      </c>
      <c r="K287" t="s">
        <v>21</v>
      </c>
      <c r="L287" s="12" t="str">
        <f t="shared" si="8"/>
        <v>6-weeks</v>
      </c>
      <c r="M287" t="str">
        <f t="shared" si="9"/>
        <v>At Risk</v>
      </c>
    </row>
    <row r="288" spans="1:13" x14ac:dyDescent="0.35">
      <c r="A288">
        <v>387</v>
      </c>
      <c r="B288" t="s">
        <v>11</v>
      </c>
      <c r="C288">
        <v>36</v>
      </c>
      <c r="D288" t="s">
        <v>24</v>
      </c>
      <c r="E288" t="s">
        <v>20</v>
      </c>
      <c r="F288" s="2">
        <v>440.5</v>
      </c>
      <c r="G288">
        <v>8</v>
      </c>
      <c r="H288">
        <v>3.1</v>
      </c>
      <c r="I288" t="b">
        <v>0</v>
      </c>
      <c r="J288" s="12">
        <v>23</v>
      </c>
      <c r="K288" t="s">
        <v>18</v>
      </c>
      <c r="L288" s="12" t="str">
        <f t="shared" si="8"/>
        <v>4-weeks</v>
      </c>
      <c r="M288" t="str">
        <f t="shared" si="9"/>
        <v>No Risk</v>
      </c>
    </row>
    <row r="289" spans="1:13" x14ac:dyDescent="0.35">
      <c r="A289">
        <v>388</v>
      </c>
      <c r="B289" t="s">
        <v>11</v>
      </c>
      <c r="C289">
        <v>30</v>
      </c>
      <c r="D289" t="s">
        <v>12</v>
      </c>
      <c r="E289" t="s">
        <v>13</v>
      </c>
      <c r="F289" s="2">
        <v>1200.8</v>
      </c>
      <c r="G289">
        <v>16</v>
      </c>
      <c r="H289">
        <v>4.7</v>
      </c>
      <c r="I289" t="b">
        <v>1</v>
      </c>
      <c r="J289" s="12">
        <v>24</v>
      </c>
      <c r="K289" t="s">
        <v>14</v>
      </c>
      <c r="L289" s="12" t="str">
        <f t="shared" si="8"/>
        <v>4-weeks</v>
      </c>
      <c r="M289" t="str">
        <f t="shared" si="9"/>
        <v>No Risk</v>
      </c>
    </row>
    <row r="290" spans="1:13" x14ac:dyDescent="0.35">
      <c r="A290">
        <v>389</v>
      </c>
      <c r="B290" t="s">
        <v>15</v>
      </c>
      <c r="C290">
        <v>34</v>
      </c>
      <c r="D290" t="s">
        <v>16</v>
      </c>
      <c r="E290" t="s">
        <v>17</v>
      </c>
      <c r="F290" s="2">
        <v>780.2</v>
      </c>
      <c r="G290">
        <v>11</v>
      </c>
      <c r="H290">
        <v>4.0999999999999996</v>
      </c>
      <c r="I290" t="b">
        <v>0</v>
      </c>
      <c r="J290" s="12">
        <v>16</v>
      </c>
      <c r="K290" t="s">
        <v>18</v>
      </c>
      <c r="L290" s="12" t="str">
        <f t="shared" si="8"/>
        <v>3-weeks</v>
      </c>
      <c r="M290" t="str">
        <f t="shared" si="9"/>
        <v>No Risk</v>
      </c>
    </row>
    <row r="291" spans="1:13" x14ac:dyDescent="0.35">
      <c r="A291">
        <v>390</v>
      </c>
      <c r="B291" t="s">
        <v>11</v>
      </c>
      <c r="C291">
        <v>43</v>
      </c>
      <c r="D291" t="s">
        <v>19</v>
      </c>
      <c r="E291" t="s">
        <v>20</v>
      </c>
      <c r="F291" s="2">
        <v>505.75</v>
      </c>
      <c r="G291">
        <v>10</v>
      </c>
      <c r="H291">
        <v>3.3</v>
      </c>
      <c r="I291" t="b">
        <v>1</v>
      </c>
      <c r="J291" s="12">
        <v>44</v>
      </c>
      <c r="K291" t="s">
        <v>21</v>
      </c>
      <c r="L291" s="12" t="str">
        <f t="shared" si="8"/>
        <v>7-weeks</v>
      </c>
      <c r="M291" t="str">
        <f t="shared" si="9"/>
        <v>At Risk</v>
      </c>
    </row>
    <row r="292" spans="1:13" x14ac:dyDescent="0.35">
      <c r="A292">
        <v>391</v>
      </c>
      <c r="B292" t="s">
        <v>15</v>
      </c>
      <c r="C292">
        <v>30</v>
      </c>
      <c r="D292" t="s">
        <v>22</v>
      </c>
      <c r="E292" t="s">
        <v>13</v>
      </c>
      <c r="F292" s="2">
        <v>1460.5</v>
      </c>
      <c r="G292">
        <v>20</v>
      </c>
      <c r="H292">
        <v>4.8</v>
      </c>
      <c r="I292" t="b">
        <v>0</v>
      </c>
      <c r="J292" s="12">
        <v>13</v>
      </c>
      <c r="K292" t="s">
        <v>14</v>
      </c>
      <c r="L292" s="12" t="str">
        <f t="shared" si="8"/>
        <v>2-weeks</v>
      </c>
      <c r="M292" t="str">
        <f t="shared" si="9"/>
        <v>No Risk</v>
      </c>
    </row>
    <row r="293" spans="1:13" x14ac:dyDescent="0.35">
      <c r="A293">
        <v>392</v>
      </c>
      <c r="B293" t="s">
        <v>15</v>
      </c>
      <c r="C293">
        <v>27</v>
      </c>
      <c r="D293" t="s">
        <v>23</v>
      </c>
      <c r="E293" t="s">
        <v>17</v>
      </c>
      <c r="F293" s="2">
        <v>710.4</v>
      </c>
      <c r="G293">
        <v>13</v>
      </c>
      <c r="H293">
        <v>4.0999999999999996</v>
      </c>
      <c r="I293" t="b">
        <v>1</v>
      </c>
      <c r="J293" s="12">
        <v>59</v>
      </c>
      <c r="K293" t="s">
        <v>21</v>
      </c>
      <c r="L293" s="12" t="str">
        <f t="shared" si="8"/>
        <v>9-weeks</v>
      </c>
      <c r="M293" t="str">
        <f t="shared" si="9"/>
        <v>At Risk</v>
      </c>
    </row>
    <row r="294" spans="1:13" x14ac:dyDescent="0.35">
      <c r="A294">
        <v>393</v>
      </c>
      <c r="B294" t="s">
        <v>11</v>
      </c>
      <c r="C294">
        <v>37</v>
      </c>
      <c r="D294" t="s">
        <v>24</v>
      </c>
      <c r="E294" t="s">
        <v>20</v>
      </c>
      <c r="F294" s="2">
        <v>450.8</v>
      </c>
      <c r="G294">
        <v>7</v>
      </c>
      <c r="H294">
        <v>3.4</v>
      </c>
      <c r="I294" t="b">
        <v>0</v>
      </c>
      <c r="J294" s="12">
        <v>28</v>
      </c>
      <c r="K294" t="s">
        <v>18</v>
      </c>
      <c r="L294" s="12" t="str">
        <f t="shared" si="8"/>
        <v>4-weeks</v>
      </c>
      <c r="M294" t="str">
        <f t="shared" si="9"/>
        <v>No Risk</v>
      </c>
    </row>
    <row r="295" spans="1:13" x14ac:dyDescent="0.35">
      <c r="A295">
        <v>394</v>
      </c>
      <c r="B295" t="s">
        <v>11</v>
      </c>
      <c r="C295">
        <v>31</v>
      </c>
      <c r="D295" t="s">
        <v>12</v>
      </c>
      <c r="E295" t="s">
        <v>13</v>
      </c>
      <c r="F295" s="2">
        <v>1140.5999999999999</v>
      </c>
      <c r="G295">
        <v>15</v>
      </c>
      <c r="H295">
        <v>4.5</v>
      </c>
      <c r="I295" t="b">
        <v>1</v>
      </c>
      <c r="J295" s="12">
        <v>32</v>
      </c>
      <c r="K295" t="s">
        <v>14</v>
      </c>
      <c r="L295" s="12" t="str">
        <f t="shared" si="8"/>
        <v>5-weeks</v>
      </c>
      <c r="M295" t="str">
        <f t="shared" si="9"/>
        <v>At Risk</v>
      </c>
    </row>
    <row r="296" spans="1:13" x14ac:dyDescent="0.35">
      <c r="A296">
        <v>395</v>
      </c>
      <c r="B296" t="s">
        <v>15</v>
      </c>
      <c r="C296">
        <v>35</v>
      </c>
      <c r="D296" t="s">
        <v>16</v>
      </c>
      <c r="E296" t="s">
        <v>17</v>
      </c>
      <c r="F296" s="2">
        <v>800.9</v>
      </c>
      <c r="G296">
        <v>12</v>
      </c>
      <c r="H296">
        <v>4.0999999999999996</v>
      </c>
      <c r="I296" t="b">
        <v>0</v>
      </c>
      <c r="J296" s="12">
        <v>17</v>
      </c>
      <c r="K296" t="s">
        <v>18</v>
      </c>
      <c r="L296" s="12" t="str">
        <f t="shared" si="8"/>
        <v>3-weeks</v>
      </c>
      <c r="M296" t="str">
        <f t="shared" si="9"/>
        <v>No Risk</v>
      </c>
    </row>
    <row r="297" spans="1:13" x14ac:dyDescent="0.35">
      <c r="A297">
        <v>396</v>
      </c>
      <c r="B297" t="s">
        <v>11</v>
      </c>
      <c r="C297">
        <v>41</v>
      </c>
      <c r="D297" t="s">
        <v>19</v>
      </c>
      <c r="E297" t="s">
        <v>20</v>
      </c>
      <c r="F297" s="2">
        <v>475.25</v>
      </c>
      <c r="G297">
        <v>9</v>
      </c>
      <c r="H297">
        <v>3.6</v>
      </c>
      <c r="I297" t="b">
        <v>1</v>
      </c>
      <c r="J297" s="12">
        <v>44</v>
      </c>
      <c r="K297" t="s">
        <v>21</v>
      </c>
      <c r="L297" s="12" t="str">
        <f t="shared" si="8"/>
        <v>7-weeks</v>
      </c>
      <c r="M297" t="str">
        <f t="shared" si="9"/>
        <v>At Risk</v>
      </c>
    </row>
    <row r="298" spans="1:13" x14ac:dyDescent="0.35">
      <c r="A298">
        <v>397</v>
      </c>
      <c r="B298" t="s">
        <v>15</v>
      </c>
      <c r="C298">
        <v>28</v>
      </c>
      <c r="D298" t="s">
        <v>22</v>
      </c>
      <c r="E298" t="s">
        <v>13</v>
      </c>
      <c r="F298" s="2">
        <v>1480.1</v>
      </c>
      <c r="G298">
        <v>21</v>
      </c>
      <c r="H298">
        <v>4.9000000000000004</v>
      </c>
      <c r="I298" t="b">
        <v>0</v>
      </c>
      <c r="J298" s="12">
        <v>12</v>
      </c>
      <c r="K298" t="s">
        <v>14</v>
      </c>
      <c r="L298" s="12" t="str">
        <f t="shared" si="8"/>
        <v>2-weeks</v>
      </c>
      <c r="M298" t="str">
        <f t="shared" si="9"/>
        <v>No Risk</v>
      </c>
    </row>
    <row r="299" spans="1:13" x14ac:dyDescent="0.35">
      <c r="A299">
        <v>398</v>
      </c>
      <c r="B299" t="s">
        <v>15</v>
      </c>
      <c r="C299">
        <v>32</v>
      </c>
      <c r="D299" t="s">
        <v>23</v>
      </c>
      <c r="E299" t="s">
        <v>17</v>
      </c>
      <c r="F299" s="2">
        <v>660.3</v>
      </c>
      <c r="G299">
        <v>10</v>
      </c>
      <c r="H299">
        <v>3.8</v>
      </c>
      <c r="I299" t="b">
        <v>1</v>
      </c>
      <c r="J299" s="12">
        <v>38</v>
      </c>
      <c r="K299" t="s">
        <v>21</v>
      </c>
      <c r="L299" s="12" t="str">
        <f t="shared" si="8"/>
        <v>6-weeks</v>
      </c>
      <c r="M299" t="str">
        <f t="shared" si="9"/>
        <v>At Risk</v>
      </c>
    </row>
    <row r="300" spans="1:13" x14ac:dyDescent="0.35">
      <c r="A300">
        <v>399</v>
      </c>
      <c r="B300" t="s">
        <v>11</v>
      </c>
      <c r="C300">
        <v>36</v>
      </c>
      <c r="D300" t="s">
        <v>24</v>
      </c>
      <c r="E300" t="s">
        <v>20</v>
      </c>
      <c r="F300" s="2">
        <v>470.5</v>
      </c>
      <c r="G300">
        <v>8</v>
      </c>
      <c r="H300">
        <v>3</v>
      </c>
      <c r="I300" t="b">
        <v>0</v>
      </c>
      <c r="J300" s="12">
        <v>22</v>
      </c>
      <c r="K300" t="s">
        <v>18</v>
      </c>
      <c r="L300" s="12" t="str">
        <f t="shared" si="8"/>
        <v>4-weeks</v>
      </c>
      <c r="M300" t="str">
        <f t="shared" si="9"/>
        <v>No Risk</v>
      </c>
    </row>
    <row r="301" spans="1:13" x14ac:dyDescent="0.35">
      <c r="A301">
        <v>400</v>
      </c>
      <c r="B301" t="s">
        <v>11</v>
      </c>
      <c r="C301">
        <v>30</v>
      </c>
      <c r="D301" t="s">
        <v>12</v>
      </c>
      <c r="E301" t="s">
        <v>13</v>
      </c>
      <c r="F301" s="2">
        <v>1190.8</v>
      </c>
      <c r="G301">
        <v>16</v>
      </c>
      <c r="H301">
        <v>4.5</v>
      </c>
      <c r="I301" t="b">
        <v>1</v>
      </c>
      <c r="J301" s="12">
        <v>25</v>
      </c>
      <c r="K301" t="s">
        <v>14</v>
      </c>
      <c r="L301" s="12" t="str">
        <f t="shared" si="8"/>
        <v>4-weeks</v>
      </c>
      <c r="M301" t="str">
        <f t="shared" si="9"/>
        <v>No Risk</v>
      </c>
    </row>
    <row r="302" spans="1:13" x14ac:dyDescent="0.35">
      <c r="A302">
        <v>401</v>
      </c>
      <c r="B302" t="s">
        <v>15</v>
      </c>
      <c r="C302">
        <v>33</v>
      </c>
      <c r="D302" t="s">
        <v>16</v>
      </c>
      <c r="E302" t="s">
        <v>17</v>
      </c>
      <c r="F302" s="2">
        <v>800.2</v>
      </c>
      <c r="G302">
        <v>11</v>
      </c>
      <c r="H302">
        <v>4.0999999999999996</v>
      </c>
      <c r="I302" t="b">
        <v>0</v>
      </c>
      <c r="J302" s="12">
        <v>18</v>
      </c>
      <c r="K302" t="s">
        <v>18</v>
      </c>
      <c r="L302" s="12" t="str">
        <f t="shared" si="8"/>
        <v>3-weeks</v>
      </c>
      <c r="M302" t="str">
        <f t="shared" si="9"/>
        <v>No Risk</v>
      </c>
    </row>
    <row r="303" spans="1:13" x14ac:dyDescent="0.35">
      <c r="A303">
        <v>402</v>
      </c>
      <c r="B303" t="s">
        <v>11</v>
      </c>
      <c r="C303">
        <v>43</v>
      </c>
      <c r="D303" t="s">
        <v>19</v>
      </c>
      <c r="E303" t="s">
        <v>20</v>
      </c>
      <c r="F303" s="2">
        <v>515.75</v>
      </c>
      <c r="G303">
        <v>10</v>
      </c>
      <c r="H303">
        <v>3.3</v>
      </c>
      <c r="I303" t="b">
        <v>1</v>
      </c>
      <c r="J303" s="12">
        <v>45</v>
      </c>
      <c r="K303" t="s">
        <v>21</v>
      </c>
      <c r="L303" s="12" t="str">
        <f t="shared" si="8"/>
        <v>7-weeks</v>
      </c>
      <c r="M303" t="str">
        <f t="shared" si="9"/>
        <v>At Risk</v>
      </c>
    </row>
    <row r="304" spans="1:13" x14ac:dyDescent="0.35">
      <c r="A304">
        <v>403</v>
      </c>
      <c r="B304" t="s">
        <v>15</v>
      </c>
      <c r="C304">
        <v>30</v>
      </c>
      <c r="D304" t="s">
        <v>22</v>
      </c>
      <c r="E304" t="s">
        <v>13</v>
      </c>
      <c r="F304" s="2">
        <v>1450.5</v>
      </c>
      <c r="G304">
        <v>19</v>
      </c>
      <c r="H304">
        <v>4.5999999999999996</v>
      </c>
      <c r="I304" t="b">
        <v>0</v>
      </c>
      <c r="J304" s="12">
        <v>13</v>
      </c>
      <c r="K304" t="s">
        <v>14</v>
      </c>
      <c r="L304" s="12" t="str">
        <f t="shared" si="8"/>
        <v>2-weeks</v>
      </c>
      <c r="M304" t="str">
        <f t="shared" si="9"/>
        <v>No Risk</v>
      </c>
    </row>
    <row r="305" spans="1:13" x14ac:dyDescent="0.35">
      <c r="A305">
        <v>404</v>
      </c>
      <c r="B305" t="s">
        <v>15</v>
      </c>
      <c r="C305">
        <v>27</v>
      </c>
      <c r="D305" t="s">
        <v>23</v>
      </c>
      <c r="E305" t="s">
        <v>17</v>
      </c>
      <c r="F305" s="2">
        <v>710.4</v>
      </c>
      <c r="G305">
        <v>13</v>
      </c>
      <c r="H305">
        <v>4.0999999999999996</v>
      </c>
      <c r="I305" t="b">
        <v>1</v>
      </c>
      <c r="J305" s="12">
        <v>60</v>
      </c>
      <c r="K305" t="s">
        <v>21</v>
      </c>
      <c r="L305" s="12" t="str">
        <f t="shared" si="8"/>
        <v>9-weeks</v>
      </c>
      <c r="M305" t="str">
        <f t="shared" si="9"/>
        <v>At Risk</v>
      </c>
    </row>
    <row r="306" spans="1:13" x14ac:dyDescent="0.35">
      <c r="A306">
        <v>405</v>
      </c>
      <c r="B306" t="s">
        <v>11</v>
      </c>
      <c r="C306">
        <v>37</v>
      </c>
      <c r="D306" t="s">
        <v>24</v>
      </c>
      <c r="E306" t="s">
        <v>20</v>
      </c>
      <c r="F306" s="2">
        <v>430.8</v>
      </c>
      <c r="G306">
        <v>7</v>
      </c>
      <c r="H306">
        <v>3.4</v>
      </c>
      <c r="I306" t="b">
        <v>0</v>
      </c>
      <c r="J306" s="12">
        <v>29</v>
      </c>
      <c r="K306" t="s">
        <v>18</v>
      </c>
      <c r="L306" s="12" t="str">
        <f t="shared" si="8"/>
        <v>5-weeks</v>
      </c>
      <c r="M306" t="str">
        <f t="shared" si="9"/>
        <v>At Risk</v>
      </c>
    </row>
    <row r="307" spans="1:13" x14ac:dyDescent="0.35">
      <c r="A307">
        <v>406</v>
      </c>
      <c r="B307" t="s">
        <v>11</v>
      </c>
      <c r="C307">
        <v>31</v>
      </c>
      <c r="D307" t="s">
        <v>12</v>
      </c>
      <c r="E307" t="s">
        <v>13</v>
      </c>
      <c r="F307" s="2">
        <v>1160.5999999999999</v>
      </c>
      <c r="G307">
        <v>15</v>
      </c>
      <c r="H307">
        <v>4.5</v>
      </c>
      <c r="I307" t="b">
        <v>1</v>
      </c>
      <c r="J307" s="12">
        <v>33</v>
      </c>
      <c r="K307" t="s">
        <v>14</v>
      </c>
      <c r="L307" s="12" t="str">
        <f t="shared" si="8"/>
        <v>5-weeks</v>
      </c>
      <c r="M307" t="str">
        <f t="shared" si="9"/>
        <v>At Risk</v>
      </c>
    </row>
    <row r="308" spans="1:13" x14ac:dyDescent="0.35">
      <c r="A308">
        <v>407</v>
      </c>
      <c r="B308" t="s">
        <v>15</v>
      </c>
      <c r="C308">
        <v>35</v>
      </c>
      <c r="D308" t="s">
        <v>16</v>
      </c>
      <c r="E308" t="s">
        <v>17</v>
      </c>
      <c r="F308" s="2">
        <v>820.9</v>
      </c>
      <c r="G308">
        <v>12</v>
      </c>
      <c r="H308">
        <v>4.3</v>
      </c>
      <c r="I308" t="b">
        <v>0</v>
      </c>
      <c r="J308" s="12">
        <v>16</v>
      </c>
      <c r="K308" t="s">
        <v>18</v>
      </c>
      <c r="L308" s="12" t="str">
        <f t="shared" si="8"/>
        <v>3-weeks</v>
      </c>
      <c r="M308" t="str">
        <f t="shared" si="9"/>
        <v>No Risk</v>
      </c>
    </row>
    <row r="309" spans="1:13" x14ac:dyDescent="0.35">
      <c r="A309">
        <v>408</v>
      </c>
      <c r="B309" t="s">
        <v>11</v>
      </c>
      <c r="C309">
        <v>41</v>
      </c>
      <c r="D309" t="s">
        <v>19</v>
      </c>
      <c r="E309" t="s">
        <v>20</v>
      </c>
      <c r="F309" s="2">
        <v>495.25</v>
      </c>
      <c r="G309">
        <v>9</v>
      </c>
      <c r="H309">
        <v>3.6</v>
      </c>
      <c r="I309" t="b">
        <v>1</v>
      </c>
      <c r="J309" s="12">
        <v>45</v>
      </c>
      <c r="K309" t="s">
        <v>21</v>
      </c>
      <c r="L309" s="12" t="str">
        <f t="shared" si="8"/>
        <v>7-weeks</v>
      </c>
      <c r="M309" t="str">
        <f t="shared" si="9"/>
        <v>At Risk</v>
      </c>
    </row>
    <row r="310" spans="1:13" x14ac:dyDescent="0.35">
      <c r="A310">
        <v>409</v>
      </c>
      <c r="B310" t="s">
        <v>15</v>
      </c>
      <c r="C310">
        <v>28</v>
      </c>
      <c r="D310" t="s">
        <v>22</v>
      </c>
      <c r="E310" t="s">
        <v>13</v>
      </c>
      <c r="F310" s="2">
        <v>1490.1</v>
      </c>
      <c r="G310">
        <v>21</v>
      </c>
      <c r="H310">
        <v>4.9000000000000004</v>
      </c>
      <c r="I310" t="b">
        <v>0</v>
      </c>
      <c r="J310" s="12">
        <v>11</v>
      </c>
      <c r="K310" t="s">
        <v>14</v>
      </c>
      <c r="L310" s="12" t="str">
        <f t="shared" si="8"/>
        <v>2-weeks</v>
      </c>
      <c r="M310" t="str">
        <f t="shared" si="9"/>
        <v>No Risk</v>
      </c>
    </row>
    <row r="311" spans="1:13" x14ac:dyDescent="0.35">
      <c r="A311">
        <v>410</v>
      </c>
      <c r="B311" t="s">
        <v>15</v>
      </c>
      <c r="C311">
        <v>32</v>
      </c>
      <c r="D311" t="s">
        <v>23</v>
      </c>
      <c r="E311" t="s">
        <v>17</v>
      </c>
      <c r="F311" s="2">
        <v>660.3</v>
      </c>
      <c r="G311">
        <v>10</v>
      </c>
      <c r="H311">
        <v>3.8</v>
      </c>
      <c r="I311" t="b">
        <v>1</v>
      </c>
      <c r="J311" s="12">
        <v>39</v>
      </c>
      <c r="K311" t="s">
        <v>21</v>
      </c>
      <c r="L311" s="12" t="str">
        <f t="shared" si="8"/>
        <v>6-weeks</v>
      </c>
      <c r="M311" t="str">
        <f t="shared" si="9"/>
        <v>At Risk</v>
      </c>
    </row>
    <row r="312" spans="1:13" x14ac:dyDescent="0.35">
      <c r="A312">
        <v>411</v>
      </c>
      <c r="B312" t="s">
        <v>11</v>
      </c>
      <c r="C312">
        <v>36</v>
      </c>
      <c r="D312" t="s">
        <v>24</v>
      </c>
      <c r="E312" t="s">
        <v>20</v>
      </c>
      <c r="F312" s="2">
        <v>440.5</v>
      </c>
      <c r="G312">
        <v>8</v>
      </c>
      <c r="H312">
        <v>3.1</v>
      </c>
      <c r="I312" t="b">
        <v>0</v>
      </c>
      <c r="J312" s="12">
        <v>24</v>
      </c>
      <c r="K312" t="s">
        <v>18</v>
      </c>
      <c r="L312" s="12" t="str">
        <f t="shared" si="8"/>
        <v>4-weeks</v>
      </c>
      <c r="M312" t="str">
        <f t="shared" si="9"/>
        <v>No Risk</v>
      </c>
    </row>
    <row r="313" spans="1:13" x14ac:dyDescent="0.35">
      <c r="A313">
        <v>412</v>
      </c>
      <c r="B313" t="s">
        <v>11</v>
      </c>
      <c r="C313">
        <v>30</v>
      </c>
      <c r="D313" t="s">
        <v>12</v>
      </c>
      <c r="E313" t="s">
        <v>13</v>
      </c>
      <c r="F313" s="2">
        <v>1200.8</v>
      </c>
      <c r="G313">
        <v>16</v>
      </c>
      <c r="H313">
        <v>4.7</v>
      </c>
      <c r="I313" t="b">
        <v>1</v>
      </c>
      <c r="J313" s="12">
        <v>25</v>
      </c>
      <c r="K313" t="s">
        <v>14</v>
      </c>
      <c r="L313" s="12" t="str">
        <f t="shared" si="8"/>
        <v>4-weeks</v>
      </c>
      <c r="M313" t="str">
        <f t="shared" si="9"/>
        <v>No Risk</v>
      </c>
    </row>
    <row r="314" spans="1:13" x14ac:dyDescent="0.35">
      <c r="A314">
        <v>413</v>
      </c>
      <c r="B314" t="s">
        <v>15</v>
      </c>
      <c r="C314">
        <v>34</v>
      </c>
      <c r="D314" t="s">
        <v>16</v>
      </c>
      <c r="E314" t="s">
        <v>17</v>
      </c>
      <c r="F314" s="2">
        <v>780.2</v>
      </c>
      <c r="G314">
        <v>11</v>
      </c>
      <c r="H314">
        <v>4.0999999999999996</v>
      </c>
      <c r="I314" t="b">
        <v>0</v>
      </c>
      <c r="J314" s="12">
        <v>17</v>
      </c>
      <c r="K314" t="s">
        <v>18</v>
      </c>
      <c r="L314" s="12" t="str">
        <f t="shared" si="8"/>
        <v>3-weeks</v>
      </c>
      <c r="M314" t="str">
        <f t="shared" si="9"/>
        <v>No Risk</v>
      </c>
    </row>
    <row r="315" spans="1:13" x14ac:dyDescent="0.35">
      <c r="A315">
        <v>414</v>
      </c>
      <c r="B315" t="s">
        <v>11</v>
      </c>
      <c r="C315">
        <v>43</v>
      </c>
      <c r="D315" t="s">
        <v>19</v>
      </c>
      <c r="E315" t="s">
        <v>20</v>
      </c>
      <c r="F315" s="2">
        <v>505.75</v>
      </c>
      <c r="G315">
        <v>10</v>
      </c>
      <c r="H315">
        <v>3.3</v>
      </c>
      <c r="I315" t="b">
        <v>1</v>
      </c>
      <c r="J315" s="12">
        <v>46</v>
      </c>
      <c r="K315" t="s">
        <v>21</v>
      </c>
      <c r="L315" s="12" t="str">
        <f t="shared" si="8"/>
        <v>7-weeks</v>
      </c>
      <c r="M315" t="str">
        <f t="shared" si="9"/>
        <v>At Risk</v>
      </c>
    </row>
    <row r="316" spans="1:13" x14ac:dyDescent="0.35">
      <c r="A316">
        <v>415</v>
      </c>
      <c r="B316" t="s">
        <v>15</v>
      </c>
      <c r="C316">
        <v>30</v>
      </c>
      <c r="D316" t="s">
        <v>22</v>
      </c>
      <c r="E316" t="s">
        <v>13</v>
      </c>
      <c r="F316" s="2">
        <v>1460.5</v>
      </c>
      <c r="G316">
        <v>20</v>
      </c>
      <c r="H316">
        <v>4.8</v>
      </c>
      <c r="I316" t="b">
        <v>0</v>
      </c>
      <c r="J316" s="12">
        <v>14</v>
      </c>
      <c r="K316" t="s">
        <v>14</v>
      </c>
      <c r="L316" s="12" t="str">
        <f t="shared" si="8"/>
        <v>2-weeks</v>
      </c>
      <c r="M316" t="str">
        <f t="shared" si="9"/>
        <v>No Risk</v>
      </c>
    </row>
    <row r="317" spans="1:13" x14ac:dyDescent="0.35">
      <c r="A317">
        <v>416</v>
      </c>
      <c r="B317" t="s">
        <v>15</v>
      </c>
      <c r="C317">
        <v>27</v>
      </c>
      <c r="D317" t="s">
        <v>23</v>
      </c>
      <c r="E317" t="s">
        <v>17</v>
      </c>
      <c r="F317" s="2">
        <v>710.4</v>
      </c>
      <c r="G317">
        <v>13</v>
      </c>
      <c r="H317">
        <v>4.0999999999999996</v>
      </c>
      <c r="I317" t="b">
        <v>1</v>
      </c>
      <c r="J317" s="12">
        <v>61</v>
      </c>
      <c r="K317" t="s">
        <v>21</v>
      </c>
      <c r="L317" s="12" t="str">
        <f t="shared" si="8"/>
        <v>9-weeks</v>
      </c>
      <c r="M317" t="str">
        <f t="shared" si="9"/>
        <v>At Risk</v>
      </c>
    </row>
    <row r="318" spans="1:13" x14ac:dyDescent="0.35">
      <c r="A318">
        <v>417</v>
      </c>
      <c r="B318" t="s">
        <v>11</v>
      </c>
      <c r="C318">
        <v>37</v>
      </c>
      <c r="D318" t="s">
        <v>24</v>
      </c>
      <c r="E318" t="s">
        <v>20</v>
      </c>
      <c r="F318" s="2">
        <v>450.8</v>
      </c>
      <c r="G318">
        <v>7</v>
      </c>
      <c r="H318">
        <v>3.4</v>
      </c>
      <c r="I318" t="b">
        <v>0</v>
      </c>
      <c r="J318" s="12">
        <v>30</v>
      </c>
      <c r="K318" t="s">
        <v>18</v>
      </c>
      <c r="L318" s="12" t="str">
        <f t="shared" si="8"/>
        <v>5-weeks</v>
      </c>
      <c r="M318" t="str">
        <f t="shared" si="9"/>
        <v>At Risk</v>
      </c>
    </row>
    <row r="319" spans="1:13" x14ac:dyDescent="0.35">
      <c r="A319">
        <v>418</v>
      </c>
      <c r="B319" t="s">
        <v>11</v>
      </c>
      <c r="C319">
        <v>31</v>
      </c>
      <c r="D319" t="s">
        <v>12</v>
      </c>
      <c r="E319" t="s">
        <v>13</v>
      </c>
      <c r="F319" s="2">
        <v>1140.5999999999999</v>
      </c>
      <c r="G319">
        <v>15</v>
      </c>
      <c r="H319">
        <v>4.5</v>
      </c>
      <c r="I319" t="b">
        <v>1</v>
      </c>
      <c r="J319" s="12">
        <v>34</v>
      </c>
      <c r="K319" t="s">
        <v>14</v>
      </c>
      <c r="L319" s="12" t="str">
        <f t="shared" si="8"/>
        <v>5-weeks</v>
      </c>
      <c r="M319" t="str">
        <f t="shared" si="9"/>
        <v>At Risk</v>
      </c>
    </row>
    <row r="320" spans="1:13" x14ac:dyDescent="0.35">
      <c r="A320">
        <v>419</v>
      </c>
      <c r="B320" t="s">
        <v>15</v>
      </c>
      <c r="C320">
        <v>35</v>
      </c>
      <c r="D320" t="s">
        <v>16</v>
      </c>
      <c r="E320" t="s">
        <v>17</v>
      </c>
      <c r="F320" s="2">
        <v>800.9</v>
      </c>
      <c r="G320">
        <v>12</v>
      </c>
      <c r="H320">
        <v>4.0999999999999996</v>
      </c>
      <c r="I320" t="b">
        <v>0</v>
      </c>
      <c r="J320" s="12">
        <v>19</v>
      </c>
      <c r="K320" t="s">
        <v>18</v>
      </c>
      <c r="L320" s="12" t="str">
        <f t="shared" si="8"/>
        <v>3-weeks</v>
      </c>
      <c r="M320" t="str">
        <f t="shared" si="9"/>
        <v>No Risk</v>
      </c>
    </row>
    <row r="321" spans="1:13" x14ac:dyDescent="0.35">
      <c r="A321">
        <v>420</v>
      </c>
      <c r="B321" t="s">
        <v>11</v>
      </c>
      <c r="C321">
        <v>41</v>
      </c>
      <c r="D321" t="s">
        <v>19</v>
      </c>
      <c r="E321" t="s">
        <v>20</v>
      </c>
      <c r="F321" s="2">
        <v>475.25</v>
      </c>
      <c r="G321">
        <v>9</v>
      </c>
      <c r="H321">
        <v>3.6</v>
      </c>
      <c r="I321" t="b">
        <v>1</v>
      </c>
      <c r="J321" s="12">
        <v>46</v>
      </c>
      <c r="K321" t="s">
        <v>21</v>
      </c>
      <c r="L321" s="12" t="str">
        <f t="shared" si="8"/>
        <v>7-weeks</v>
      </c>
      <c r="M321" t="str">
        <f t="shared" si="9"/>
        <v>At Risk</v>
      </c>
    </row>
    <row r="322" spans="1:13" x14ac:dyDescent="0.35">
      <c r="A322">
        <v>421</v>
      </c>
      <c r="B322" t="s">
        <v>15</v>
      </c>
      <c r="C322">
        <v>28</v>
      </c>
      <c r="D322" t="s">
        <v>22</v>
      </c>
      <c r="E322" t="s">
        <v>13</v>
      </c>
      <c r="F322" s="2">
        <v>1480.1</v>
      </c>
      <c r="G322">
        <v>21</v>
      </c>
      <c r="H322">
        <v>4.9000000000000004</v>
      </c>
      <c r="I322" t="b">
        <v>0</v>
      </c>
      <c r="J322" s="12">
        <v>12</v>
      </c>
      <c r="K322" t="s">
        <v>14</v>
      </c>
      <c r="L322" s="12" t="str">
        <f t="shared" ref="L322:L351" si="10">_xlfn.IFS(J322&lt;=7,"1-week",J322&lt;=14,"2-weeks", J322&lt;=21,"3-weeks",J322&lt;=28,"4-weeks",J322&lt;=35,"5-weeks",J322&lt;=42,"6-weeks",J322&lt;=49,"7-weeks",J322&lt;=56,"8-weeks",J322&lt;=63,"9-weeks")</f>
        <v>2-weeks</v>
      </c>
      <c r="M322" t="str">
        <f t="shared" ref="M322:M351" si="11">IF(J322&gt;28, "At Risk", "No Risk")</f>
        <v>No Risk</v>
      </c>
    </row>
    <row r="323" spans="1:13" x14ac:dyDescent="0.35">
      <c r="A323">
        <v>422</v>
      </c>
      <c r="B323" t="s">
        <v>15</v>
      </c>
      <c r="C323">
        <v>32</v>
      </c>
      <c r="D323" t="s">
        <v>23</v>
      </c>
      <c r="E323" t="s">
        <v>17</v>
      </c>
      <c r="F323" s="2">
        <v>660.3</v>
      </c>
      <c r="G323">
        <v>10</v>
      </c>
      <c r="H323">
        <v>3.8</v>
      </c>
      <c r="I323" t="b">
        <v>1</v>
      </c>
      <c r="J323" s="12">
        <v>40</v>
      </c>
      <c r="K323" t="s">
        <v>21</v>
      </c>
      <c r="L323" s="12" t="str">
        <f t="shared" si="10"/>
        <v>6-weeks</v>
      </c>
      <c r="M323" t="str">
        <f t="shared" si="11"/>
        <v>At Risk</v>
      </c>
    </row>
    <row r="324" spans="1:13" x14ac:dyDescent="0.35">
      <c r="A324">
        <v>423</v>
      </c>
      <c r="B324" t="s">
        <v>11</v>
      </c>
      <c r="C324">
        <v>36</v>
      </c>
      <c r="D324" t="s">
        <v>24</v>
      </c>
      <c r="E324" t="s">
        <v>20</v>
      </c>
      <c r="F324" s="2">
        <v>470.5</v>
      </c>
      <c r="G324">
        <v>8</v>
      </c>
      <c r="H324">
        <v>3</v>
      </c>
      <c r="I324" t="b">
        <v>0</v>
      </c>
      <c r="J324" s="12">
        <v>26</v>
      </c>
      <c r="K324" t="s">
        <v>18</v>
      </c>
      <c r="L324" s="12" t="str">
        <f t="shared" si="10"/>
        <v>4-weeks</v>
      </c>
      <c r="M324" t="str">
        <f t="shared" si="11"/>
        <v>No Risk</v>
      </c>
    </row>
    <row r="325" spans="1:13" x14ac:dyDescent="0.35">
      <c r="A325">
        <v>424</v>
      </c>
      <c r="B325" t="s">
        <v>11</v>
      </c>
      <c r="C325">
        <v>30</v>
      </c>
      <c r="D325" t="s">
        <v>12</v>
      </c>
      <c r="E325" t="s">
        <v>13</v>
      </c>
      <c r="F325" s="2">
        <v>1190.8</v>
      </c>
      <c r="G325">
        <v>16</v>
      </c>
      <c r="H325">
        <v>4.5</v>
      </c>
      <c r="I325" t="b">
        <v>1</v>
      </c>
      <c r="J325" s="12">
        <v>27</v>
      </c>
      <c r="K325" t="s">
        <v>14</v>
      </c>
      <c r="L325" s="12" t="str">
        <f t="shared" si="10"/>
        <v>4-weeks</v>
      </c>
      <c r="M325" t="str">
        <f t="shared" si="11"/>
        <v>No Risk</v>
      </c>
    </row>
    <row r="326" spans="1:13" x14ac:dyDescent="0.35">
      <c r="A326">
        <v>425</v>
      </c>
      <c r="B326" t="s">
        <v>15</v>
      </c>
      <c r="C326">
        <v>34</v>
      </c>
      <c r="D326" t="s">
        <v>16</v>
      </c>
      <c r="E326" t="s">
        <v>17</v>
      </c>
      <c r="F326" s="2">
        <v>780.2</v>
      </c>
      <c r="G326">
        <v>11</v>
      </c>
      <c r="H326">
        <v>4.2</v>
      </c>
      <c r="I326" t="b">
        <v>0</v>
      </c>
      <c r="J326" s="12">
        <v>18</v>
      </c>
      <c r="K326" t="s">
        <v>18</v>
      </c>
      <c r="L326" s="12" t="str">
        <f t="shared" si="10"/>
        <v>3-weeks</v>
      </c>
      <c r="M326" t="str">
        <f t="shared" si="11"/>
        <v>No Risk</v>
      </c>
    </row>
    <row r="327" spans="1:13" x14ac:dyDescent="0.35">
      <c r="A327">
        <v>426</v>
      </c>
      <c r="B327" t="s">
        <v>11</v>
      </c>
      <c r="C327">
        <v>43</v>
      </c>
      <c r="D327" t="s">
        <v>19</v>
      </c>
      <c r="E327" t="s">
        <v>20</v>
      </c>
      <c r="F327" s="2">
        <v>515.75</v>
      </c>
      <c r="G327">
        <v>10</v>
      </c>
      <c r="H327">
        <v>3.3</v>
      </c>
      <c r="I327" t="b">
        <v>1</v>
      </c>
      <c r="J327" s="12">
        <v>47</v>
      </c>
      <c r="K327" t="s">
        <v>21</v>
      </c>
      <c r="L327" s="12" t="str">
        <f t="shared" si="10"/>
        <v>7-weeks</v>
      </c>
      <c r="M327" t="str">
        <f t="shared" si="11"/>
        <v>At Risk</v>
      </c>
    </row>
    <row r="328" spans="1:13" x14ac:dyDescent="0.35">
      <c r="A328">
        <v>427</v>
      </c>
      <c r="B328" t="s">
        <v>15</v>
      </c>
      <c r="C328">
        <v>30</v>
      </c>
      <c r="D328" t="s">
        <v>22</v>
      </c>
      <c r="E328" t="s">
        <v>13</v>
      </c>
      <c r="F328" s="2">
        <v>1450.5</v>
      </c>
      <c r="G328">
        <v>19</v>
      </c>
      <c r="H328">
        <v>4.5999999999999996</v>
      </c>
      <c r="I328" t="b">
        <v>0</v>
      </c>
      <c r="J328" s="12">
        <v>14</v>
      </c>
      <c r="K328" t="s">
        <v>14</v>
      </c>
      <c r="L328" s="12" t="str">
        <f t="shared" si="10"/>
        <v>2-weeks</v>
      </c>
      <c r="M328" t="str">
        <f t="shared" si="11"/>
        <v>No Risk</v>
      </c>
    </row>
    <row r="329" spans="1:13" x14ac:dyDescent="0.35">
      <c r="A329">
        <v>428</v>
      </c>
      <c r="B329" t="s">
        <v>15</v>
      </c>
      <c r="C329">
        <v>27</v>
      </c>
      <c r="D329" t="s">
        <v>23</v>
      </c>
      <c r="E329" t="s">
        <v>17</v>
      </c>
      <c r="F329" s="2">
        <v>710.4</v>
      </c>
      <c r="G329">
        <v>13</v>
      </c>
      <c r="H329">
        <v>4.0999999999999996</v>
      </c>
      <c r="I329" t="b">
        <v>1</v>
      </c>
      <c r="J329" s="12">
        <v>62</v>
      </c>
      <c r="K329" t="s">
        <v>21</v>
      </c>
      <c r="L329" s="12" t="str">
        <f t="shared" si="10"/>
        <v>9-weeks</v>
      </c>
      <c r="M329" t="str">
        <f t="shared" si="11"/>
        <v>At Risk</v>
      </c>
    </row>
    <row r="330" spans="1:13" x14ac:dyDescent="0.35">
      <c r="A330">
        <v>429</v>
      </c>
      <c r="B330" t="s">
        <v>11</v>
      </c>
      <c r="C330">
        <v>37</v>
      </c>
      <c r="D330" t="s">
        <v>24</v>
      </c>
      <c r="E330" t="s">
        <v>20</v>
      </c>
      <c r="F330" s="2">
        <v>430.8</v>
      </c>
      <c r="G330">
        <v>7</v>
      </c>
      <c r="H330">
        <v>3.4</v>
      </c>
      <c r="I330" t="b">
        <v>0</v>
      </c>
      <c r="J330" s="12">
        <v>31</v>
      </c>
      <c r="K330" t="s">
        <v>18</v>
      </c>
      <c r="L330" s="12" t="str">
        <f t="shared" si="10"/>
        <v>5-weeks</v>
      </c>
      <c r="M330" t="str">
        <f t="shared" si="11"/>
        <v>At Risk</v>
      </c>
    </row>
    <row r="331" spans="1:13" x14ac:dyDescent="0.35">
      <c r="A331">
        <v>430</v>
      </c>
      <c r="B331" t="s">
        <v>11</v>
      </c>
      <c r="C331">
        <v>31</v>
      </c>
      <c r="D331" t="s">
        <v>12</v>
      </c>
      <c r="E331" t="s">
        <v>13</v>
      </c>
      <c r="F331" s="2">
        <v>1160.5999999999999</v>
      </c>
      <c r="G331">
        <v>15</v>
      </c>
      <c r="H331">
        <v>4.5</v>
      </c>
      <c r="I331" t="b">
        <v>1</v>
      </c>
      <c r="J331" s="12">
        <v>35</v>
      </c>
      <c r="K331" t="s">
        <v>14</v>
      </c>
      <c r="L331" s="12" t="str">
        <f t="shared" si="10"/>
        <v>5-weeks</v>
      </c>
      <c r="M331" t="str">
        <f t="shared" si="11"/>
        <v>At Risk</v>
      </c>
    </row>
    <row r="332" spans="1:13" x14ac:dyDescent="0.35">
      <c r="A332">
        <v>431</v>
      </c>
      <c r="B332" t="s">
        <v>15</v>
      </c>
      <c r="C332">
        <v>35</v>
      </c>
      <c r="D332" t="s">
        <v>16</v>
      </c>
      <c r="E332" t="s">
        <v>17</v>
      </c>
      <c r="F332" s="2">
        <v>820.9</v>
      </c>
      <c r="G332">
        <v>12</v>
      </c>
      <c r="H332">
        <v>4.3</v>
      </c>
      <c r="I332" t="b">
        <v>0</v>
      </c>
      <c r="J332" s="12">
        <v>20</v>
      </c>
      <c r="K332" t="s">
        <v>18</v>
      </c>
      <c r="L332" s="12" t="str">
        <f t="shared" si="10"/>
        <v>3-weeks</v>
      </c>
      <c r="M332" t="str">
        <f t="shared" si="11"/>
        <v>No Risk</v>
      </c>
    </row>
    <row r="333" spans="1:13" x14ac:dyDescent="0.35">
      <c r="A333">
        <v>432</v>
      </c>
      <c r="B333" t="s">
        <v>11</v>
      </c>
      <c r="C333">
        <v>41</v>
      </c>
      <c r="D333" t="s">
        <v>19</v>
      </c>
      <c r="E333" t="s">
        <v>20</v>
      </c>
      <c r="F333" s="2">
        <v>495.25</v>
      </c>
      <c r="G333">
        <v>9</v>
      </c>
      <c r="H333">
        <v>3.6</v>
      </c>
      <c r="I333" t="b">
        <v>1</v>
      </c>
      <c r="J333" s="12">
        <v>47</v>
      </c>
      <c r="K333" t="s">
        <v>21</v>
      </c>
      <c r="L333" s="12" t="str">
        <f t="shared" si="10"/>
        <v>7-weeks</v>
      </c>
      <c r="M333" t="str">
        <f t="shared" si="11"/>
        <v>At Risk</v>
      </c>
    </row>
    <row r="334" spans="1:13" x14ac:dyDescent="0.35">
      <c r="A334">
        <v>433</v>
      </c>
      <c r="B334" t="s">
        <v>15</v>
      </c>
      <c r="C334">
        <v>28</v>
      </c>
      <c r="D334" t="s">
        <v>22</v>
      </c>
      <c r="E334" t="s">
        <v>13</v>
      </c>
      <c r="F334" s="2">
        <v>1490.1</v>
      </c>
      <c r="G334">
        <v>21</v>
      </c>
      <c r="H334">
        <v>4.9000000000000004</v>
      </c>
      <c r="I334" t="b">
        <v>0</v>
      </c>
      <c r="J334" s="12">
        <v>11</v>
      </c>
      <c r="K334" t="s">
        <v>14</v>
      </c>
      <c r="L334" s="12" t="str">
        <f t="shared" si="10"/>
        <v>2-weeks</v>
      </c>
      <c r="M334" t="str">
        <f t="shared" si="11"/>
        <v>No Risk</v>
      </c>
    </row>
    <row r="335" spans="1:13" x14ac:dyDescent="0.35">
      <c r="A335">
        <v>434</v>
      </c>
      <c r="B335" t="s">
        <v>15</v>
      </c>
      <c r="C335">
        <v>32</v>
      </c>
      <c r="D335" t="s">
        <v>23</v>
      </c>
      <c r="E335" t="s">
        <v>17</v>
      </c>
      <c r="F335" s="2">
        <v>660.3</v>
      </c>
      <c r="G335">
        <v>10</v>
      </c>
      <c r="H335">
        <v>3.8</v>
      </c>
      <c r="I335" t="b">
        <v>1</v>
      </c>
      <c r="J335" s="12">
        <v>41</v>
      </c>
      <c r="K335" t="s">
        <v>21</v>
      </c>
      <c r="L335" s="12" t="str">
        <f t="shared" si="10"/>
        <v>6-weeks</v>
      </c>
      <c r="M335" t="str">
        <f t="shared" si="11"/>
        <v>At Risk</v>
      </c>
    </row>
    <row r="336" spans="1:13" x14ac:dyDescent="0.35">
      <c r="A336">
        <v>435</v>
      </c>
      <c r="B336" t="s">
        <v>11</v>
      </c>
      <c r="C336">
        <v>36</v>
      </c>
      <c r="D336" t="s">
        <v>24</v>
      </c>
      <c r="E336" t="s">
        <v>20</v>
      </c>
      <c r="F336" s="2">
        <v>440.5</v>
      </c>
      <c r="G336">
        <v>8</v>
      </c>
      <c r="H336">
        <v>3.1</v>
      </c>
      <c r="I336" t="b">
        <v>0</v>
      </c>
      <c r="J336" s="12">
        <v>28</v>
      </c>
      <c r="K336" t="s">
        <v>18</v>
      </c>
      <c r="L336" s="12" t="str">
        <f t="shared" si="10"/>
        <v>4-weeks</v>
      </c>
      <c r="M336" t="str">
        <f t="shared" si="11"/>
        <v>No Risk</v>
      </c>
    </row>
    <row r="337" spans="1:13" x14ac:dyDescent="0.35">
      <c r="A337">
        <v>436</v>
      </c>
      <c r="B337" t="s">
        <v>11</v>
      </c>
      <c r="C337">
        <v>30</v>
      </c>
      <c r="D337" t="s">
        <v>12</v>
      </c>
      <c r="E337" t="s">
        <v>13</v>
      </c>
      <c r="F337" s="2">
        <v>1200.8</v>
      </c>
      <c r="G337">
        <v>16</v>
      </c>
      <c r="H337">
        <v>4.7</v>
      </c>
      <c r="I337" t="b">
        <v>1</v>
      </c>
      <c r="J337" s="12">
        <v>28</v>
      </c>
      <c r="K337" t="s">
        <v>14</v>
      </c>
      <c r="L337" s="12" t="str">
        <f t="shared" si="10"/>
        <v>4-weeks</v>
      </c>
      <c r="M337" t="str">
        <f t="shared" si="11"/>
        <v>No Risk</v>
      </c>
    </row>
    <row r="338" spans="1:13" x14ac:dyDescent="0.35">
      <c r="A338">
        <v>437</v>
      </c>
      <c r="B338" t="s">
        <v>15</v>
      </c>
      <c r="C338">
        <v>34</v>
      </c>
      <c r="D338" t="s">
        <v>16</v>
      </c>
      <c r="E338" t="s">
        <v>17</v>
      </c>
      <c r="F338" s="2">
        <v>780.2</v>
      </c>
      <c r="G338">
        <v>11</v>
      </c>
      <c r="H338">
        <v>4.0999999999999996</v>
      </c>
      <c r="I338" t="b">
        <v>0</v>
      </c>
      <c r="J338" s="12">
        <v>19</v>
      </c>
      <c r="K338" t="s">
        <v>18</v>
      </c>
      <c r="L338" s="12" t="str">
        <f t="shared" si="10"/>
        <v>3-weeks</v>
      </c>
      <c r="M338" t="str">
        <f t="shared" si="11"/>
        <v>No Risk</v>
      </c>
    </row>
    <row r="339" spans="1:13" x14ac:dyDescent="0.35">
      <c r="A339">
        <v>438</v>
      </c>
      <c r="B339" t="s">
        <v>11</v>
      </c>
      <c r="C339">
        <v>43</v>
      </c>
      <c r="D339" t="s">
        <v>19</v>
      </c>
      <c r="E339" t="s">
        <v>20</v>
      </c>
      <c r="F339" s="2">
        <v>505.75</v>
      </c>
      <c r="G339">
        <v>10</v>
      </c>
      <c r="H339">
        <v>3.3</v>
      </c>
      <c r="I339" t="b">
        <v>1</v>
      </c>
      <c r="J339" s="12">
        <v>48</v>
      </c>
      <c r="K339" t="s">
        <v>21</v>
      </c>
      <c r="L339" s="12" t="str">
        <f t="shared" si="10"/>
        <v>7-weeks</v>
      </c>
      <c r="M339" t="str">
        <f t="shared" si="11"/>
        <v>At Risk</v>
      </c>
    </row>
    <row r="340" spans="1:13" x14ac:dyDescent="0.35">
      <c r="A340">
        <v>439</v>
      </c>
      <c r="B340" t="s">
        <v>15</v>
      </c>
      <c r="C340">
        <v>30</v>
      </c>
      <c r="D340" t="s">
        <v>22</v>
      </c>
      <c r="E340" t="s">
        <v>13</v>
      </c>
      <c r="F340" s="2">
        <v>1460.5</v>
      </c>
      <c r="G340">
        <v>20</v>
      </c>
      <c r="H340">
        <v>4.8</v>
      </c>
      <c r="I340" t="b">
        <v>0</v>
      </c>
      <c r="J340" s="12">
        <v>15</v>
      </c>
      <c r="K340" t="s">
        <v>14</v>
      </c>
      <c r="L340" s="12" t="str">
        <f t="shared" si="10"/>
        <v>3-weeks</v>
      </c>
      <c r="M340" t="str">
        <f t="shared" si="11"/>
        <v>No Risk</v>
      </c>
    </row>
    <row r="341" spans="1:13" x14ac:dyDescent="0.35">
      <c r="A341">
        <v>440</v>
      </c>
      <c r="B341" t="s">
        <v>15</v>
      </c>
      <c r="C341">
        <v>27</v>
      </c>
      <c r="D341" t="s">
        <v>23</v>
      </c>
      <c r="E341" t="s">
        <v>17</v>
      </c>
      <c r="F341" s="2">
        <v>710.4</v>
      </c>
      <c r="G341">
        <v>13</v>
      </c>
      <c r="H341">
        <v>4.0999999999999996</v>
      </c>
      <c r="I341" t="b">
        <v>1</v>
      </c>
      <c r="J341" s="12">
        <v>63</v>
      </c>
      <c r="K341" t="s">
        <v>21</v>
      </c>
      <c r="L341" s="12" t="str">
        <f t="shared" si="10"/>
        <v>9-weeks</v>
      </c>
      <c r="M341" t="str">
        <f t="shared" si="11"/>
        <v>At Risk</v>
      </c>
    </row>
    <row r="342" spans="1:13" x14ac:dyDescent="0.35">
      <c r="A342">
        <v>441</v>
      </c>
      <c r="B342" t="s">
        <v>11</v>
      </c>
      <c r="C342">
        <v>37</v>
      </c>
      <c r="D342" t="s">
        <v>24</v>
      </c>
      <c r="E342" t="s">
        <v>20</v>
      </c>
      <c r="F342" s="2">
        <v>450.8</v>
      </c>
      <c r="G342">
        <v>7</v>
      </c>
      <c r="H342">
        <v>3.4</v>
      </c>
      <c r="I342" t="b">
        <v>0</v>
      </c>
      <c r="J342" s="12">
        <v>32</v>
      </c>
      <c r="K342" t="s">
        <v>18</v>
      </c>
      <c r="L342" s="12" t="str">
        <f t="shared" si="10"/>
        <v>5-weeks</v>
      </c>
      <c r="M342" t="str">
        <f t="shared" si="11"/>
        <v>At Risk</v>
      </c>
    </row>
    <row r="343" spans="1:13" x14ac:dyDescent="0.35">
      <c r="A343">
        <v>442</v>
      </c>
      <c r="B343" t="s">
        <v>11</v>
      </c>
      <c r="C343">
        <v>31</v>
      </c>
      <c r="D343" t="s">
        <v>12</v>
      </c>
      <c r="E343" t="s">
        <v>13</v>
      </c>
      <c r="F343" s="2">
        <v>1140.5999999999999</v>
      </c>
      <c r="G343">
        <v>15</v>
      </c>
      <c r="H343">
        <v>4.5</v>
      </c>
      <c r="I343" t="b">
        <v>1</v>
      </c>
      <c r="J343" s="12">
        <v>36</v>
      </c>
      <c r="K343" t="s">
        <v>14</v>
      </c>
      <c r="L343" s="12" t="str">
        <f t="shared" si="10"/>
        <v>6-weeks</v>
      </c>
      <c r="M343" t="str">
        <f t="shared" si="11"/>
        <v>At Risk</v>
      </c>
    </row>
    <row r="344" spans="1:13" x14ac:dyDescent="0.35">
      <c r="A344">
        <v>443</v>
      </c>
      <c r="B344" t="s">
        <v>15</v>
      </c>
      <c r="C344">
        <v>35</v>
      </c>
      <c r="D344" t="s">
        <v>16</v>
      </c>
      <c r="E344" t="s">
        <v>17</v>
      </c>
      <c r="F344" s="2">
        <v>800.9</v>
      </c>
      <c r="G344">
        <v>12</v>
      </c>
      <c r="H344">
        <v>4.0999999999999996</v>
      </c>
      <c r="I344" t="b">
        <v>0</v>
      </c>
      <c r="J344" s="12">
        <v>20</v>
      </c>
      <c r="K344" t="s">
        <v>18</v>
      </c>
      <c r="L344" s="12" t="str">
        <f t="shared" si="10"/>
        <v>3-weeks</v>
      </c>
      <c r="M344" t="str">
        <f t="shared" si="11"/>
        <v>No Risk</v>
      </c>
    </row>
    <row r="345" spans="1:13" x14ac:dyDescent="0.35">
      <c r="A345">
        <v>444</v>
      </c>
      <c r="B345" t="s">
        <v>11</v>
      </c>
      <c r="C345">
        <v>41</v>
      </c>
      <c r="D345" t="s">
        <v>19</v>
      </c>
      <c r="E345" t="s">
        <v>20</v>
      </c>
      <c r="F345" s="2">
        <v>475.25</v>
      </c>
      <c r="G345">
        <v>9</v>
      </c>
      <c r="H345">
        <v>3.6</v>
      </c>
      <c r="I345" t="b">
        <v>1</v>
      </c>
      <c r="J345" s="12">
        <v>48</v>
      </c>
      <c r="K345" t="s">
        <v>21</v>
      </c>
      <c r="L345" s="12" t="str">
        <f t="shared" si="10"/>
        <v>7-weeks</v>
      </c>
      <c r="M345" t="str">
        <f t="shared" si="11"/>
        <v>At Risk</v>
      </c>
    </row>
    <row r="346" spans="1:13" x14ac:dyDescent="0.35">
      <c r="A346">
        <v>445</v>
      </c>
      <c r="B346" t="s">
        <v>15</v>
      </c>
      <c r="C346">
        <v>28</v>
      </c>
      <c r="D346" t="s">
        <v>22</v>
      </c>
      <c r="E346" t="s">
        <v>13</v>
      </c>
      <c r="F346" s="2">
        <v>1480.1</v>
      </c>
      <c r="G346">
        <v>21</v>
      </c>
      <c r="H346">
        <v>4.9000000000000004</v>
      </c>
      <c r="I346" t="b">
        <v>0</v>
      </c>
      <c r="J346" s="12">
        <v>13</v>
      </c>
      <c r="K346" t="s">
        <v>14</v>
      </c>
      <c r="L346" s="12" t="str">
        <f t="shared" si="10"/>
        <v>2-weeks</v>
      </c>
      <c r="M346" t="str">
        <f t="shared" si="11"/>
        <v>No Risk</v>
      </c>
    </row>
    <row r="347" spans="1:13" x14ac:dyDescent="0.35">
      <c r="A347">
        <v>446</v>
      </c>
      <c r="B347" t="s">
        <v>15</v>
      </c>
      <c r="C347">
        <v>32</v>
      </c>
      <c r="D347" t="s">
        <v>23</v>
      </c>
      <c r="E347" t="s">
        <v>17</v>
      </c>
      <c r="F347" s="2">
        <v>660.3</v>
      </c>
      <c r="G347">
        <v>10</v>
      </c>
      <c r="H347">
        <v>3.8</v>
      </c>
      <c r="I347" t="b">
        <v>1</v>
      </c>
      <c r="J347" s="12">
        <v>42</v>
      </c>
      <c r="K347" t="s">
        <v>21</v>
      </c>
      <c r="L347" s="12" t="str">
        <f t="shared" si="10"/>
        <v>6-weeks</v>
      </c>
      <c r="M347" t="str">
        <f t="shared" si="11"/>
        <v>At Risk</v>
      </c>
    </row>
    <row r="348" spans="1:13" x14ac:dyDescent="0.35">
      <c r="A348">
        <v>447</v>
      </c>
      <c r="B348" t="s">
        <v>11</v>
      </c>
      <c r="C348">
        <v>36</v>
      </c>
      <c r="D348" t="s">
        <v>24</v>
      </c>
      <c r="E348" t="s">
        <v>20</v>
      </c>
      <c r="F348" s="2">
        <v>470.5</v>
      </c>
      <c r="G348">
        <v>8</v>
      </c>
      <c r="H348">
        <v>3</v>
      </c>
      <c r="I348" t="b">
        <v>0</v>
      </c>
      <c r="J348" s="12">
        <v>27</v>
      </c>
      <c r="K348" t="s">
        <v>18</v>
      </c>
      <c r="L348" s="12" t="str">
        <f t="shared" si="10"/>
        <v>4-weeks</v>
      </c>
      <c r="M348" t="str">
        <f t="shared" si="11"/>
        <v>No Risk</v>
      </c>
    </row>
    <row r="349" spans="1:13" x14ac:dyDescent="0.35">
      <c r="A349">
        <v>448</v>
      </c>
      <c r="B349" t="s">
        <v>11</v>
      </c>
      <c r="C349">
        <v>30</v>
      </c>
      <c r="D349" t="s">
        <v>12</v>
      </c>
      <c r="E349" t="s">
        <v>13</v>
      </c>
      <c r="F349" s="2">
        <v>1190.8</v>
      </c>
      <c r="G349">
        <v>16</v>
      </c>
      <c r="H349">
        <v>4.5</v>
      </c>
      <c r="I349" t="b">
        <v>1</v>
      </c>
      <c r="J349" s="12">
        <v>28</v>
      </c>
      <c r="K349" t="s">
        <v>14</v>
      </c>
      <c r="L349" s="12" t="str">
        <f t="shared" si="10"/>
        <v>4-weeks</v>
      </c>
      <c r="M349" t="str">
        <f t="shared" si="11"/>
        <v>No Risk</v>
      </c>
    </row>
    <row r="350" spans="1:13" x14ac:dyDescent="0.35">
      <c r="A350">
        <v>449</v>
      </c>
      <c r="B350" t="s">
        <v>15</v>
      </c>
      <c r="C350">
        <v>34</v>
      </c>
      <c r="D350" t="s">
        <v>16</v>
      </c>
      <c r="E350" t="s">
        <v>17</v>
      </c>
      <c r="F350" s="2">
        <v>780.2</v>
      </c>
      <c r="G350">
        <v>11</v>
      </c>
      <c r="H350">
        <v>4.2</v>
      </c>
      <c r="I350" t="b">
        <v>0</v>
      </c>
      <c r="J350" s="12">
        <v>21</v>
      </c>
      <c r="K350" t="s">
        <v>18</v>
      </c>
      <c r="L350" s="12" t="str">
        <f t="shared" si="10"/>
        <v>3-weeks</v>
      </c>
      <c r="M350" t="str">
        <f t="shared" si="11"/>
        <v>No Risk</v>
      </c>
    </row>
    <row r="351" spans="1:13" x14ac:dyDescent="0.35">
      <c r="A351">
        <v>450</v>
      </c>
      <c r="B351" t="s">
        <v>11</v>
      </c>
      <c r="C351">
        <v>43</v>
      </c>
      <c r="D351" t="s">
        <v>19</v>
      </c>
      <c r="E351" t="s">
        <v>20</v>
      </c>
      <c r="F351" s="2">
        <v>515.75</v>
      </c>
      <c r="G351">
        <v>10</v>
      </c>
      <c r="H351">
        <v>3.3</v>
      </c>
      <c r="I351" t="b">
        <v>1</v>
      </c>
      <c r="J351" s="12">
        <v>49</v>
      </c>
      <c r="K351" t="s">
        <v>21</v>
      </c>
      <c r="L351" s="12" t="str">
        <f t="shared" si="10"/>
        <v>7-weeks</v>
      </c>
      <c r="M351" t="str">
        <f t="shared" si="11"/>
        <v>At Risk</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election activeCell="A10" sqref="A10"/>
    </sheetView>
  </sheetViews>
  <sheetFormatPr defaultRowHeight="14.5" x14ac:dyDescent="0.35"/>
  <cols>
    <col min="1" max="1" width="28.36328125" bestFit="1" customWidth="1"/>
    <col min="2" max="2" width="11.90625" bestFit="1" customWidth="1"/>
  </cols>
  <sheetData>
    <row r="1" spans="1:6" x14ac:dyDescent="0.35">
      <c r="A1" t="s">
        <v>25</v>
      </c>
      <c r="B1" t="s">
        <v>26</v>
      </c>
    </row>
    <row r="2" spans="1:6" x14ac:dyDescent="0.35">
      <c r="A2" t="s">
        <v>27</v>
      </c>
      <c r="B2" s="3">
        <f>SUM(Table1[Total Spend])</f>
        <v>295883.59999999969</v>
      </c>
    </row>
    <row r="3" spans="1:6" x14ac:dyDescent="0.35">
      <c r="A3" t="s">
        <v>28</v>
      </c>
      <c r="B3" s="1">
        <f>AVERAGE(Table1[Total Spend])</f>
        <v>845.38171428571343</v>
      </c>
    </row>
    <row r="4" spans="1:6" x14ac:dyDescent="0.35">
      <c r="A4" t="s">
        <v>29</v>
      </c>
      <c r="B4">
        <f>MEDIAN(Table1[Age])</f>
        <v>32.5</v>
      </c>
    </row>
    <row r="5" spans="1:6" x14ac:dyDescent="0.35">
      <c r="A5" t="s">
        <v>30</v>
      </c>
      <c r="B5">
        <f>COUNTA(Table1[Customer ID])</f>
        <v>350</v>
      </c>
    </row>
    <row r="6" spans="1:6" x14ac:dyDescent="0.35">
      <c r="A6" t="s">
        <v>31</v>
      </c>
      <c r="B6" s="4">
        <f>_xlfn.STDEV.S(Table1[Total Spend])</f>
        <v>362.05869534746699</v>
      </c>
    </row>
    <row r="7" spans="1:6" x14ac:dyDescent="0.35">
      <c r="A7" t="s">
        <v>32</v>
      </c>
      <c r="B7">
        <f>COUNTIF(Table1[Membership Type], "Gold")</f>
        <v>117</v>
      </c>
      <c r="F7" s="2"/>
    </row>
    <row r="8" spans="1:6" x14ac:dyDescent="0.35">
      <c r="A8" t="s">
        <v>33</v>
      </c>
      <c r="B8">
        <f>COUNTIF(Table1[Membership Type],"Silver")</f>
        <v>117</v>
      </c>
    </row>
    <row r="9" spans="1:6" x14ac:dyDescent="0.35">
      <c r="A9" t="s">
        <v>34</v>
      </c>
      <c r="B9">
        <f>COUNTIF(Table1[Membership Type],"Bronze")</f>
        <v>116</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58"/>
  <sheetViews>
    <sheetView tabSelected="1" topLeftCell="A61" zoomScale="78" zoomScaleNormal="78" workbookViewId="0">
      <selection activeCell="L123" sqref="L123"/>
    </sheetView>
  </sheetViews>
  <sheetFormatPr defaultRowHeight="14.5" x14ac:dyDescent="0.35"/>
  <cols>
    <col min="1" max="1" width="17.1796875" bestFit="1" customWidth="1"/>
    <col min="2" max="2" width="15.81640625" bestFit="1" customWidth="1"/>
    <col min="3" max="4" width="8.81640625" bestFit="1" customWidth="1"/>
    <col min="5" max="5" width="8.6328125" bestFit="1" customWidth="1"/>
    <col min="6" max="6" width="8.90625" bestFit="1" customWidth="1"/>
    <col min="7" max="7" width="12" bestFit="1" customWidth="1"/>
    <col min="8" max="8" width="13.26953125" bestFit="1" customWidth="1"/>
    <col min="9" max="10" width="18.08984375" bestFit="1" customWidth="1"/>
    <col min="11" max="11" width="15.81640625" bestFit="1" customWidth="1"/>
    <col min="12" max="12" width="7.1796875" bestFit="1" customWidth="1"/>
    <col min="13" max="13" width="10.7265625" bestFit="1" customWidth="1"/>
    <col min="16" max="16" width="17.1796875" bestFit="1" customWidth="1"/>
    <col min="17" max="17" width="15.81640625" bestFit="1" customWidth="1"/>
    <col min="18" max="18" width="9.453125" bestFit="1" customWidth="1"/>
    <col min="19" max="19" width="10.26953125" bestFit="1" customWidth="1"/>
    <col min="20" max="20" width="10.1796875" bestFit="1" customWidth="1"/>
    <col min="21" max="21" width="10.7265625" bestFit="1" customWidth="1"/>
    <col min="24" max="24" width="17.1796875" bestFit="1" customWidth="1"/>
    <col min="25" max="25" width="15.81640625" bestFit="1" customWidth="1"/>
    <col min="26" max="26" width="8.36328125" bestFit="1" customWidth="1"/>
    <col min="27" max="27" width="10.26953125" bestFit="1" customWidth="1"/>
    <col min="28" max="28" width="12.7265625" bestFit="1" customWidth="1"/>
    <col min="29" max="29" width="12.26953125" bestFit="1" customWidth="1"/>
    <col min="30" max="30" width="15.36328125" bestFit="1" customWidth="1"/>
    <col min="31" max="31" width="8.36328125" bestFit="1" customWidth="1"/>
    <col min="32" max="32" width="7.08984375" bestFit="1" customWidth="1"/>
    <col min="33" max="33" width="10.81640625" bestFit="1" customWidth="1"/>
    <col min="34" max="34" width="10.6328125" bestFit="1" customWidth="1"/>
    <col min="35" max="35" width="7.26953125" bestFit="1" customWidth="1"/>
    <col min="36" max="36" width="13.7265625" bestFit="1" customWidth="1"/>
    <col min="37" max="37" width="13.81640625" bestFit="1" customWidth="1"/>
    <col min="38" max="38" width="16.81640625" bestFit="1" customWidth="1"/>
    <col min="39" max="39" width="10.7265625" bestFit="1" customWidth="1"/>
  </cols>
  <sheetData>
    <row r="1" spans="1:27" ht="15.5" x14ac:dyDescent="0.35">
      <c r="A1" s="8" t="s">
        <v>39</v>
      </c>
    </row>
    <row r="2" spans="1:27" ht="15.5" x14ac:dyDescent="0.35">
      <c r="A2" s="7" t="s">
        <v>38</v>
      </c>
      <c r="H2" s="7"/>
      <c r="P2" s="7" t="s">
        <v>41</v>
      </c>
      <c r="X2" s="7" t="s">
        <v>42</v>
      </c>
    </row>
    <row r="3" spans="1:27" x14ac:dyDescent="0.35">
      <c r="A3" s="5" t="s">
        <v>37</v>
      </c>
      <c r="B3" s="5" t="s">
        <v>36</v>
      </c>
      <c r="H3" s="5" t="s">
        <v>35</v>
      </c>
      <c r="I3" t="s">
        <v>37</v>
      </c>
      <c r="P3" s="5" t="s">
        <v>37</v>
      </c>
      <c r="Q3" s="5" t="s">
        <v>36</v>
      </c>
      <c r="X3" s="5" t="s">
        <v>37</v>
      </c>
      <c r="Y3" s="5" t="s">
        <v>36</v>
      </c>
    </row>
    <row r="4" spans="1:27" x14ac:dyDescent="0.35">
      <c r="A4" s="5" t="s">
        <v>35</v>
      </c>
      <c r="B4" t="s">
        <v>18</v>
      </c>
      <c r="C4" t="s">
        <v>14</v>
      </c>
      <c r="D4" t="s">
        <v>21</v>
      </c>
      <c r="H4" s="6" t="s">
        <v>47</v>
      </c>
      <c r="I4" s="11">
        <v>0.53436790683904056</v>
      </c>
      <c r="L4" s="5"/>
      <c r="M4" s="5"/>
      <c r="N4" s="5"/>
      <c r="O4" s="5"/>
      <c r="P4" s="5" t="s">
        <v>35</v>
      </c>
      <c r="Q4" t="s">
        <v>18</v>
      </c>
      <c r="R4" t="s">
        <v>14</v>
      </c>
      <c r="S4" t="s">
        <v>21</v>
      </c>
      <c r="T4" s="5"/>
      <c r="U4" s="5"/>
      <c r="V4" s="5"/>
      <c r="W4" s="5"/>
      <c r="X4" s="5" t="s">
        <v>35</v>
      </c>
      <c r="Y4" t="s">
        <v>18</v>
      </c>
      <c r="Z4" t="s">
        <v>14</v>
      </c>
      <c r="AA4" t="s">
        <v>21</v>
      </c>
    </row>
    <row r="5" spans="1:27" x14ac:dyDescent="0.35">
      <c r="A5" s="6" t="s">
        <v>22</v>
      </c>
      <c r="B5" s="2"/>
      <c r="C5" s="2">
        <v>84666.800000000017</v>
      </c>
      <c r="D5" s="2"/>
      <c r="H5" s="6" t="s">
        <v>48</v>
      </c>
      <c r="I5" s="11">
        <v>0.46563209316095944</v>
      </c>
      <c r="P5" s="6" t="s">
        <v>17</v>
      </c>
      <c r="Q5" s="2">
        <v>40888.000000000015</v>
      </c>
      <c r="R5" s="2">
        <v>6636</v>
      </c>
      <c r="S5" s="2">
        <v>40042.60000000002</v>
      </c>
      <c r="X5" s="6" t="s">
        <v>11</v>
      </c>
      <c r="Y5" s="2">
        <v>25919.899999999987</v>
      </c>
      <c r="Z5" s="2">
        <v>67526.500000000015</v>
      </c>
      <c r="AA5" s="2">
        <v>29723.600000000002</v>
      </c>
    </row>
    <row r="6" spans="1:27" x14ac:dyDescent="0.35">
      <c r="A6" s="6" t="s">
        <v>12</v>
      </c>
      <c r="B6" s="2"/>
      <c r="C6" s="2">
        <v>68737.10000000002</v>
      </c>
      <c r="D6" s="2"/>
      <c r="P6" s="6" t="s">
        <v>20</v>
      </c>
      <c r="Q6" s="2">
        <v>25919.899999999987</v>
      </c>
      <c r="R6" s="2"/>
      <c r="S6" s="2">
        <v>28993.200000000001</v>
      </c>
      <c r="X6" s="6" t="s">
        <v>15</v>
      </c>
      <c r="Y6" s="2">
        <v>40888.000000000015</v>
      </c>
      <c r="Z6" s="2">
        <v>92513.400000000023</v>
      </c>
      <c r="AA6" s="2">
        <v>39312.200000000019</v>
      </c>
    </row>
    <row r="7" spans="1:27" x14ac:dyDescent="0.35">
      <c r="A7" s="6" t="s">
        <v>16</v>
      </c>
      <c r="B7" s="2">
        <v>40888.000000000015</v>
      </c>
      <c r="C7" s="2">
        <v>6636</v>
      </c>
      <c r="D7" s="2"/>
      <c r="P7" s="6" t="s">
        <v>13</v>
      </c>
      <c r="Q7" s="2"/>
      <c r="R7" s="2">
        <v>153403.90000000014</v>
      </c>
      <c r="S7" s="2"/>
    </row>
    <row r="8" spans="1:27" x14ac:dyDescent="0.35">
      <c r="A8" s="6" t="s">
        <v>23</v>
      </c>
      <c r="B8" s="2"/>
      <c r="C8" s="2"/>
      <c r="D8" s="2">
        <v>40042.60000000002</v>
      </c>
    </row>
    <row r="9" spans="1:27" x14ac:dyDescent="0.35">
      <c r="A9" s="6" t="s">
        <v>19</v>
      </c>
      <c r="B9" s="2"/>
      <c r="C9" s="2"/>
      <c r="D9" s="2">
        <v>28993.200000000001</v>
      </c>
    </row>
    <row r="10" spans="1:27" x14ac:dyDescent="0.35">
      <c r="A10" s="6" t="s">
        <v>24</v>
      </c>
      <c r="B10" s="2">
        <v>25919.899999999987</v>
      </c>
      <c r="C10" s="2"/>
      <c r="D10" s="2"/>
    </row>
    <row r="25" spans="1:25" x14ac:dyDescent="0.35">
      <c r="I25" s="5" t="s">
        <v>37</v>
      </c>
      <c r="J25" s="5" t="s">
        <v>36</v>
      </c>
      <c r="L25" s="5"/>
      <c r="M25" s="5"/>
      <c r="N25" s="5"/>
      <c r="O25" s="5"/>
      <c r="P25" s="5"/>
      <c r="Q25" s="5"/>
      <c r="R25" s="5"/>
      <c r="S25" s="5"/>
      <c r="T25" s="5"/>
      <c r="U25" s="5"/>
      <c r="V25" s="5"/>
      <c r="W25" s="5"/>
      <c r="X25" s="5"/>
      <c r="Y25" s="5"/>
    </row>
    <row r="26" spans="1:25" x14ac:dyDescent="0.35">
      <c r="I26" s="5" t="s">
        <v>35</v>
      </c>
      <c r="J26" t="s">
        <v>47</v>
      </c>
      <c r="K26" t="s">
        <v>48</v>
      </c>
    </row>
    <row r="27" spans="1:25" x14ac:dyDescent="0.35">
      <c r="I27" s="6" t="s">
        <v>22</v>
      </c>
      <c r="J27" s="2">
        <v>84666.800000000017</v>
      </c>
      <c r="K27" s="2"/>
      <c r="X27" s="5" t="s">
        <v>35</v>
      </c>
      <c r="Y27" t="s">
        <v>45</v>
      </c>
    </row>
    <row r="28" spans="1:25" x14ac:dyDescent="0.35">
      <c r="I28" s="6" t="s">
        <v>12</v>
      </c>
      <c r="J28" s="2"/>
      <c r="K28" s="2">
        <v>68737.10000000002</v>
      </c>
      <c r="X28" s="6" t="s">
        <v>11</v>
      </c>
      <c r="Y28" s="4">
        <v>175</v>
      </c>
    </row>
    <row r="29" spans="1:25" ht="15.5" x14ac:dyDescent="0.35">
      <c r="A29" s="7" t="s">
        <v>40</v>
      </c>
      <c r="I29" s="6" t="s">
        <v>16</v>
      </c>
      <c r="J29" s="2">
        <v>47524</v>
      </c>
      <c r="K29" s="2"/>
      <c r="X29" s="6" t="s">
        <v>15</v>
      </c>
      <c r="Y29" s="4">
        <v>175</v>
      </c>
    </row>
    <row r="30" spans="1:25" x14ac:dyDescent="0.35">
      <c r="A30" s="5" t="s">
        <v>37</v>
      </c>
      <c r="B30" s="5" t="s">
        <v>36</v>
      </c>
      <c r="I30" s="6" t="s">
        <v>23</v>
      </c>
      <c r="J30" s="2"/>
      <c r="K30" s="2">
        <v>40042.60000000002</v>
      </c>
      <c r="X30" s="6" t="s">
        <v>46</v>
      </c>
      <c r="Y30" s="4">
        <v>350</v>
      </c>
    </row>
    <row r="31" spans="1:25" x14ac:dyDescent="0.35">
      <c r="A31" s="5" t="s">
        <v>35</v>
      </c>
      <c r="B31" t="s">
        <v>18</v>
      </c>
      <c r="C31" t="s">
        <v>14</v>
      </c>
      <c r="D31" t="s">
        <v>21</v>
      </c>
      <c r="I31" s="6" t="s">
        <v>19</v>
      </c>
      <c r="J31" s="2"/>
      <c r="K31" s="2">
        <v>28993.200000000001</v>
      </c>
    </row>
    <row r="32" spans="1:25" x14ac:dyDescent="0.35">
      <c r="A32" s="6" t="s">
        <v>44</v>
      </c>
      <c r="B32" s="2">
        <v>25469.299999999988</v>
      </c>
      <c r="C32" s="2">
        <v>1420.8</v>
      </c>
      <c r="D32" s="2">
        <v>28993.200000000001</v>
      </c>
      <c r="I32" s="6" t="s">
        <v>24</v>
      </c>
      <c r="J32" s="2">
        <v>25919.899999999987</v>
      </c>
      <c r="K32" s="2"/>
    </row>
    <row r="33" spans="1:27" x14ac:dyDescent="0.35">
      <c r="A33" s="6" t="s">
        <v>43</v>
      </c>
      <c r="B33" s="2">
        <v>41338.600000000013</v>
      </c>
      <c r="C33" s="2">
        <v>158619.10000000015</v>
      </c>
      <c r="D33" s="2">
        <v>40042.60000000002</v>
      </c>
    </row>
    <row r="46" spans="1:27" x14ac:dyDescent="0.35">
      <c r="X46" s="5" t="s">
        <v>35</v>
      </c>
      <c r="Y46" t="s">
        <v>37</v>
      </c>
      <c r="Z46" s="5"/>
      <c r="AA46" s="5"/>
    </row>
    <row r="47" spans="1:27" x14ac:dyDescent="0.35">
      <c r="X47" s="6" t="s">
        <v>15</v>
      </c>
      <c r="Y47" s="2">
        <v>172713.59999999995</v>
      </c>
    </row>
    <row r="48" spans="1:27" x14ac:dyDescent="0.35">
      <c r="X48" s="6" t="s">
        <v>11</v>
      </c>
      <c r="Y48" s="2">
        <v>123170.00000000015</v>
      </c>
    </row>
    <row r="49" spans="1:25" x14ac:dyDescent="0.35">
      <c r="X49" s="6" t="s">
        <v>46</v>
      </c>
      <c r="Y49" s="2">
        <v>295883.60000000009</v>
      </c>
    </row>
    <row r="51" spans="1:25" x14ac:dyDescent="0.35">
      <c r="I51" s="5" t="s">
        <v>35</v>
      </c>
      <c r="J51" t="s">
        <v>53</v>
      </c>
    </row>
    <row r="52" spans="1:25" x14ac:dyDescent="0.35">
      <c r="A52" s="5" t="s">
        <v>37</v>
      </c>
      <c r="B52" s="5" t="s">
        <v>36</v>
      </c>
      <c r="I52" s="6" t="s">
        <v>51</v>
      </c>
      <c r="J52" s="2">
        <v>221</v>
      </c>
      <c r="L52" s="5"/>
      <c r="M52" s="5"/>
      <c r="N52" s="5"/>
      <c r="O52" s="5"/>
      <c r="P52" s="5"/>
      <c r="Q52" s="5"/>
      <c r="R52" s="5"/>
      <c r="S52" s="5"/>
      <c r="T52" s="5"/>
      <c r="U52" s="5"/>
      <c r="V52" s="5"/>
      <c r="W52" s="5"/>
      <c r="X52" s="5"/>
      <c r="Y52" s="5"/>
    </row>
    <row r="53" spans="1:25" x14ac:dyDescent="0.35">
      <c r="A53" s="5" t="s">
        <v>35</v>
      </c>
      <c r="B53" t="s">
        <v>20</v>
      </c>
      <c r="C53" t="s">
        <v>13</v>
      </c>
      <c r="D53" t="s">
        <v>17</v>
      </c>
      <c r="I53" s="6" t="s">
        <v>50</v>
      </c>
      <c r="J53" s="2">
        <v>129</v>
      </c>
    </row>
    <row r="54" spans="1:25" x14ac:dyDescent="0.35">
      <c r="A54" s="6" t="s">
        <v>44</v>
      </c>
      <c r="B54" s="2">
        <v>54462.500000000036</v>
      </c>
      <c r="C54" s="2">
        <v>1420.8</v>
      </c>
      <c r="D54" s="2"/>
      <c r="I54" s="6" t="s">
        <v>46</v>
      </c>
      <c r="J54" s="2">
        <v>350</v>
      </c>
    </row>
    <row r="55" spans="1:25" x14ac:dyDescent="0.35">
      <c r="A55" s="6" t="s">
        <v>43</v>
      </c>
      <c r="B55" s="2">
        <v>450.6</v>
      </c>
      <c r="C55" s="2">
        <v>151983.10000000015</v>
      </c>
      <c r="D55" s="2">
        <v>87566.599999999948</v>
      </c>
    </row>
    <row r="71" spans="1:12" x14ac:dyDescent="0.35">
      <c r="I71" s="5" t="s">
        <v>53</v>
      </c>
      <c r="J71" s="5" t="s">
        <v>36</v>
      </c>
    </row>
    <row r="72" spans="1:12" x14ac:dyDescent="0.35">
      <c r="I72" s="5" t="s">
        <v>35</v>
      </c>
      <c r="J72" t="s">
        <v>51</v>
      </c>
      <c r="K72" t="s">
        <v>50</v>
      </c>
      <c r="L72" t="s">
        <v>46</v>
      </c>
    </row>
    <row r="73" spans="1:12" x14ac:dyDescent="0.35">
      <c r="I73" s="6" t="s">
        <v>12</v>
      </c>
      <c r="J73" s="13">
        <v>0.84745762711864403</v>
      </c>
      <c r="K73" s="13">
        <v>0.15254237288135594</v>
      </c>
      <c r="L73" s="13">
        <v>1</v>
      </c>
    </row>
    <row r="74" spans="1:12" x14ac:dyDescent="0.35">
      <c r="A74" s="5" t="s">
        <v>35</v>
      </c>
      <c r="B74" t="s">
        <v>37</v>
      </c>
      <c r="I74" s="6" t="s">
        <v>16</v>
      </c>
      <c r="J74" s="13">
        <v>1</v>
      </c>
      <c r="K74" s="13">
        <v>0</v>
      </c>
      <c r="L74" s="13">
        <v>1</v>
      </c>
    </row>
    <row r="75" spans="1:12" x14ac:dyDescent="0.35">
      <c r="A75" s="6" t="s">
        <v>24</v>
      </c>
      <c r="B75" s="9">
        <v>25919.899999999987</v>
      </c>
      <c r="D75" s="10">
        <f>SUM(B78:B80)/SUM(B75:B80)</f>
        <v>0.67907751561762786</v>
      </c>
      <c r="I75" s="6" t="s">
        <v>22</v>
      </c>
      <c r="J75" s="13">
        <v>1</v>
      </c>
      <c r="K75" s="13">
        <v>0</v>
      </c>
      <c r="L75" s="13">
        <v>1</v>
      </c>
    </row>
    <row r="76" spans="1:12" x14ac:dyDescent="0.35">
      <c r="A76" s="6" t="s">
        <v>19</v>
      </c>
      <c r="B76" s="9">
        <v>28993.200000000001</v>
      </c>
      <c r="I76" s="6" t="s">
        <v>24</v>
      </c>
      <c r="J76" s="13">
        <v>0.93103448275862066</v>
      </c>
      <c r="K76" s="13">
        <v>6.8965517241379309E-2</v>
      </c>
      <c r="L76" s="13">
        <v>1</v>
      </c>
    </row>
    <row r="77" spans="1:12" x14ac:dyDescent="0.35">
      <c r="A77" s="6" t="s">
        <v>23</v>
      </c>
      <c r="B77" s="9">
        <v>40042.60000000002</v>
      </c>
      <c r="I77" s="6" t="s">
        <v>19</v>
      </c>
      <c r="J77" s="13">
        <v>0</v>
      </c>
      <c r="K77" s="13">
        <v>1</v>
      </c>
      <c r="L77" s="13">
        <v>1</v>
      </c>
    </row>
    <row r="78" spans="1:12" x14ac:dyDescent="0.35">
      <c r="A78" s="6" t="s">
        <v>16</v>
      </c>
      <c r="B78" s="9">
        <v>47524</v>
      </c>
      <c r="I78" s="6" t="s">
        <v>23</v>
      </c>
      <c r="J78" s="13">
        <v>0</v>
      </c>
      <c r="K78" s="13">
        <v>1</v>
      </c>
      <c r="L78" s="13">
        <v>1</v>
      </c>
    </row>
    <row r="79" spans="1:12" x14ac:dyDescent="0.35">
      <c r="A79" s="6" t="s">
        <v>12</v>
      </c>
      <c r="B79" s="9">
        <v>68737.10000000002</v>
      </c>
      <c r="I79" s="6" t="s">
        <v>46</v>
      </c>
      <c r="J79" s="13">
        <v>0.63142857142857145</v>
      </c>
      <c r="K79" s="13">
        <v>0.36857142857142855</v>
      </c>
      <c r="L79" s="13">
        <v>1</v>
      </c>
    </row>
    <row r="80" spans="1:12" x14ac:dyDescent="0.35">
      <c r="A80" s="6" t="s">
        <v>22</v>
      </c>
      <c r="B80" s="9">
        <v>84666.800000000017</v>
      </c>
    </row>
    <row r="84" spans="24:27" x14ac:dyDescent="0.35">
      <c r="X84" s="5" t="s">
        <v>37</v>
      </c>
      <c r="Y84" s="5" t="s">
        <v>36</v>
      </c>
    </row>
    <row r="85" spans="24:27" x14ac:dyDescent="0.35">
      <c r="X85" s="5" t="s">
        <v>35</v>
      </c>
      <c r="Y85" t="s">
        <v>44</v>
      </c>
      <c r="Z85" t="s">
        <v>43</v>
      </c>
      <c r="AA85" t="s">
        <v>46</v>
      </c>
    </row>
    <row r="86" spans="24:27" x14ac:dyDescent="0.35">
      <c r="X86" s="6" t="s">
        <v>15</v>
      </c>
      <c r="Y86" s="11">
        <v>4.8018883101327682E-3</v>
      </c>
      <c r="Z86" s="11">
        <v>0.57891954809256052</v>
      </c>
      <c r="AA86" s="11">
        <v>0.58372143640269325</v>
      </c>
    </row>
    <row r="87" spans="24:27" x14ac:dyDescent="0.35">
      <c r="X87" s="6" t="s">
        <v>11</v>
      </c>
      <c r="Y87" s="11">
        <v>0.18406731566061804</v>
      </c>
      <c r="Z87" s="11">
        <v>0.23221124793668868</v>
      </c>
      <c r="AA87" s="11">
        <v>0.41627856359730675</v>
      </c>
    </row>
    <row r="88" spans="24:27" x14ac:dyDescent="0.35">
      <c r="X88" s="6" t="s">
        <v>46</v>
      </c>
      <c r="Y88" s="11">
        <v>0.1888692039707508</v>
      </c>
      <c r="Z88" s="11">
        <v>0.8111307960292492</v>
      </c>
      <c r="AA88" s="11">
        <v>1</v>
      </c>
    </row>
    <row r="98" spans="1:26" x14ac:dyDescent="0.35">
      <c r="A98" s="5" t="s">
        <v>37</v>
      </c>
      <c r="B98" s="5" t="s">
        <v>36</v>
      </c>
    </row>
    <row r="99" spans="1:26" x14ac:dyDescent="0.35">
      <c r="A99" s="5" t="s">
        <v>35</v>
      </c>
      <c r="B99" t="s">
        <v>20</v>
      </c>
      <c r="C99" t="s">
        <v>13</v>
      </c>
      <c r="D99" t="s">
        <v>17</v>
      </c>
      <c r="I99" s="5" t="s">
        <v>53</v>
      </c>
      <c r="J99" s="5" t="s">
        <v>36</v>
      </c>
    </row>
    <row r="100" spans="1:26" x14ac:dyDescent="0.35">
      <c r="A100" s="6" t="s">
        <v>19</v>
      </c>
      <c r="B100" s="9">
        <v>28993.200000000001</v>
      </c>
      <c r="C100" s="9"/>
      <c r="D100" s="9"/>
      <c r="I100" s="5" t="s">
        <v>35</v>
      </c>
      <c r="J100" t="s">
        <v>51</v>
      </c>
      <c r="K100" t="s">
        <v>50</v>
      </c>
      <c r="M100" s="5"/>
      <c r="N100" s="5"/>
      <c r="O100" s="5"/>
      <c r="P100" s="5"/>
      <c r="Q100" s="5"/>
      <c r="R100" s="5"/>
      <c r="S100" s="5"/>
      <c r="T100" s="5"/>
      <c r="U100" s="5"/>
      <c r="V100" s="5"/>
      <c r="W100" s="5"/>
      <c r="X100" s="5"/>
      <c r="Y100" s="5"/>
      <c r="Z100" s="5"/>
    </row>
    <row r="101" spans="1:26" x14ac:dyDescent="0.35">
      <c r="A101" s="6" t="s">
        <v>24</v>
      </c>
      <c r="B101" s="9">
        <v>25919.899999999987</v>
      </c>
      <c r="C101" s="9"/>
      <c r="D101" s="9"/>
      <c r="I101" s="6" t="s">
        <v>43</v>
      </c>
      <c r="J101" s="13">
        <v>0.71367521367521369</v>
      </c>
      <c r="K101" s="13">
        <v>0.28632478632478631</v>
      </c>
    </row>
    <row r="102" spans="1:26" x14ac:dyDescent="0.35">
      <c r="A102" s="6" t="s">
        <v>16</v>
      </c>
      <c r="B102" s="9"/>
      <c r="C102" s="9"/>
      <c r="D102" s="9">
        <v>47524</v>
      </c>
      <c r="I102" s="6" t="s">
        <v>44</v>
      </c>
      <c r="J102" s="13">
        <v>0.46551724137931033</v>
      </c>
      <c r="K102" s="13">
        <v>0.53448275862068961</v>
      </c>
    </row>
    <row r="103" spans="1:26" x14ac:dyDescent="0.35">
      <c r="A103" s="6" t="s">
        <v>23</v>
      </c>
      <c r="B103" s="9"/>
      <c r="C103" s="9"/>
      <c r="D103" s="9">
        <v>40042.60000000002</v>
      </c>
    </row>
    <row r="104" spans="1:26" x14ac:dyDescent="0.35">
      <c r="A104" s="6" t="s">
        <v>12</v>
      </c>
      <c r="B104" s="9"/>
      <c r="C104" s="9">
        <v>68737.10000000002</v>
      </c>
      <c r="D104" s="9"/>
    </row>
    <row r="105" spans="1:26" x14ac:dyDescent="0.35">
      <c r="A105" s="6" t="s">
        <v>22</v>
      </c>
      <c r="B105" s="9"/>
      <c r="C105" s="9">
        <v>84666.800000000017</v>
      </c>
      <c r="D105" s="9"/>
    </row>
    <row r="108" spans="1:26" x14ac:dyDescent="0.35">
      <c r="X108" s="5" t="s">
        <v>37</v>
      </c>
      <c r="Y108" s="5" t="s">
        <v>36</v>
      </c>
    </row>
    <row r="109" spans="1:26" x14ac:dyDescent="0.35">
      <c r="X109" s="5" t="s">
        <v>35</v>
      </c>
      <c r="Y109" t="s">
        <v>11</v>
      </c>
      <c r="Z109" t="s">
        <v>15</v>
      </c>
    </row>
    <row r="110" spans="1:26" x14ac:dyDescent="0.35">
      <c r="X110" s="6" t="s">
        <v>19</v>
      </c>
      <c r="Y110" s="2">
        <v>28993.200000000004</v>
      </c>
      <c r="Z110" s="2"/>
    </row>
    <row r="111" spans="1:26" x14ac:dyDescent="0.35">
      <c r="X111" s="6" t="s">
        <v>24</v>
      </c>
      <c r="Y111" s="2">
        <v>25469.299999999992</v>
      </c>
      <c r="Z111" s="2"/>
    </row>
    <row r="112" spans="1:26" x14ac:dyDescent="0.35">
      <c r="X112" s="6" t="s">
        <v>22</v>
      </c>
      <c r="Y112" s="2"/>
      <c r="Z112" s="2">
        <v>1420.8</v>
      </c>
    </row>
    <row r="119" spans="1:12" x14ac:dyDescent="0.35">
      <c r="J119" s="5" t="s">
        <v>2</v>
      </c>
      <c r="K119" t="s">
        <v>44</v>
      </c>
    </row>
    <row r="121" spans="1:12" x14ac:dyDescent="0.35">
      <c r="A121" s="5" t="s">
        <v>37</v>
      </c>
      <c r="B121" s="5" t="s">
        <v>36</v>
      </c>
      <c r="J121" s="5" t="s">
        <v>53</v>
      </c>
      <c r="K121" s="5" t="s">
        <v>36</v>
      </c>
    </row>
    <row r="122" spans="1:12" x14ac:dyDescent="0.35">
      <c r="A122" s="5" t="s">
        <v>35</v>
      </c>
      <c r="B122" t="s">
        <v>44</v>
      </c>
      <c r="C122" t="s">
        <v>43</v>
      </c>
      <c r="J122" s="5" t="s">
        <v>35</v>
      </c>
      <c r="K122" t="s">
        <v>50</v>
      </c>
      <c r="L122" t="s">
        <v>51</v>
      </c>
    </row>
    <row r="123" spans="1:12" x14ac:dyDescent="0.35">
      <c r="A123" s="6" t="s">
        <v>19</v>
      </c>
      <c r="B123" s="9">
        <v>28993.200000000001</v>
      </c>
      <c r="C123" s="9"/>
      <c r="J123" s="6" t="s">
        <v>18</v>
      </c>
      <c r="K123" s="13">
        <v>3.4482758620689655E-2</v>
      </c>
      <c r="L123" s="13">
        <v>0.45689655172413796</v>
      </c>
    </row>
    <row r="124" spans="1:12" x14ac:dyDescent="0.35">
      <c r="A124" s="6" t="s">
        <v>24</v>
      </c>
      <c r="B124" s="9">
        <v>25469.299999999988</v>
      </c>
      <c r="C124" s="9">
        <v>450.6</v>
      </c>
      <c r="J124" s="6" t="s">
        <v>14</v>
      </c>
      <c r="K124" s="13">
        <v>0</v>
      </c>
      <c r="L124" s="13">
        <v>8.6206896551724137E-3</v>
      </c>
    </row>
    <row r="125" spans="1:12" x14ac:dyDescent="0.35">
      <c r="A125" s="6" t="s">
        <v>16</v>
      </c>
      <c r="B125" s="9"/>
      <c r="C125" s="9">
        <v>47524</v>
      </c>
      <c r="J125" s="6" t="s">
        <v>21</v>
      </c>
      <c r="K125" s="13">
        <v>0.5</v>
      </c>
      <c r="L125" s="13">
        <v>0</v>
      </c>
    </row>
    <row r="126" spans="1:12" x14ac:dyDescent="0.35">
      <c r="A126" s="6" t="s">
        <v>23</v>
      </c>
      <c r="B126" s="9"/>
      <c r="C126" s="9">
        <v>40042.60000000002</v>
      </c>
    </row>
    <row r="127" spans="1:12" x14ac:dyDescent="0.35">
      <c r="A127" s="6" t="s">
        <v>12</v>
      </c>
      <c r="B127" s="9"/>
      <c r="C127" s="9">
        <v>68737.10000000002</v>
      </c>
    </row>
    <row r="128" spans="1:12" x14ac:dyDescent="0.35">
      <c r="A128" s="6" t="s">
        <v>22</v>
      </c>
      <c r="B128" s="9">
        <v>1420.8</v>
      </c>
      <c r="C128" s="9">
        <v>83246.000000000015</v>
      </c>
    </row>
    <row r="150" spans="1:4" x14ac:dyDescent="0.35">
      <c r="A150" s="5" t="s">
        <v>45</v>
      </c>
      <c r="B150" s="5" t="s">
        <v>36</v>
      </c>
    </row>
    <row r="151" spans="1:4" x14ac:dyDescent="0.35">
      <c r="A151" s="5" t="s">
        <v>35</v>
      </c>
      <c r="B151" t="s">
        <v>44</v>
      </c>
      <c r="C151" t="s">
        <v>43</v>
      </c>
      <c r="D151" t="s">
        <v>46</v>
      </c>
    </row>
    <row r="152" spans="1:4" x14ac:dyDescent="0.35">
      <c r="A152" s="6" t="s">
        <v>12</v>
      </c>
      <c r="B152" s="4"/>
      <c r="C152" s="4">
        <v>59</v>
      </c>
      <c r="D152" s="4">
        <v>59</v>
      </c>
    </row>
    <row r="153" spans="1:4" x14ac:dyDescent="0.35">
      <c r="A153" s="6" t="s">
        <v>16</v>
      </c>
      <c r="B153" s="4"/>
      <c r="C153" s="4">
        <v>59</v>
      </c>
      <c r="D153" s="4">
        <v>59</v>
      </c>
    </row>
    <row r="154" spans="1:4" x14ac:dyDescent="0.35">
      <c r="A154" s="6" t="s">
        <v>22</v>
      </c>
      <c r="B154" s="4">
        <v>1</v>
      </c>
      <c r="C154" s="4">
        <v>57</v>
      </c>
      <c r="D154" s="4">
        <v>58</v>
      </c>
    </row>
    <row r="155" spans="1:4" x14ac:dyDescent="0.35">
      <c r="A155" s="6" t="s">
        <v>24</v>
      </c>
      <c r="B155" s="4">
        <v>57</v>
      </c>
      <c r="C155" s="4">
        <v>1</v>
      </c>
      <c r="D155" s="4">
        <v>58</v>
      </c>
    </row>
    <row r="156" spans="1:4" x14ac:dyDescent="0.35">
      <c r="A156" s="6" t="s">
        <v>19</v>
      </c>
      <c r="B156" s="4">
        <v>58</v>
      </c>
      <c r="C156" s="4"/>
      <c r="D156" s="4">
        <v>58</v>
      </c>
    </row>
    <row r="157" spans="1:4" x14ac:dyDescent="0.35">
      <c r="A157" s="6" t="s">
        <v>23</v>
      </c>
      <c r="B157" s="4"/>
      <c r="C157" s="4">
        <v>58</v>
      </c>
      <c r="D157" s="4">
        <v>58</v>
      </c>
    </row>
    <row r="158" spans="1:4" x14ac:dyDescent="0.35">
      <c r="A158" s="6" t="s">
        <v>46</v>
      </c>
      <c r="B158" s="4">
        <v>116</v>
      </c>
      <c r="C158" s="4">
        <v>234</v>
      </c>
      <c r="D158" s="4">
        <v>350</v>
      </c>
    </row>
  </sheetData>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 (2)</vt:lpstr>
      <vt:lpstr>CLEANED DATA</vt:lpstr>
      <vt:lpstr>SUMMARY STATS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2026-04-20T13:46:06Z</dcterms:created>
  <dcterms:modified xsi:type="dcterms:W3CDTF">2026-07-08T08:24:08Z</dcterms:modified>
</cp:coreProperties>
</file>